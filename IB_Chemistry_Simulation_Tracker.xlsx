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ion Tracker" sheetId="1" state="visible" r:id="rId3"/>
    <sheet name="Summary" sheetId="2" state="visible" r:id="rId4"/>
    <sheet name="Prerequisite Map" sheetId="3" state="visible" r:id="rId5"/>
    <sheet name="Pre-Assessment Checks" sheetId="4" state="visible" r:id="rId6"/>
  </sheets>
  <definedNames>
    <definedName function="false" hidden="true" localSheetId="3" name="_xlnm._FilterDatabase" vbProcedure="false">'Pre-Assessment Checks'!$A$1:$G$126</definedName>
    <definedName function="false" hidden="true" localSheetId="2" name="_xlnm._FilterDatabase" vbProcedure="false">'Prerequisite Map'!$A$1:$E$23</definedName>
    <definedName function="false" hidden="true" localSheetId="0" name="_xlnm._FilterDatabase" vbProcedure="false">'Simulation Tracker'!$A$1:$H$38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<sst xmlns="http://schemas.openxmlformats.org/spreadsheetml/2006/main" count="1174" uniqueCount="561">
  <si>
    <t xml:space="preserve">Unit</t>
  </si>
  <si>
    <t xml:space="preserve">Topic</t>
  </si>
  <si>
    <t xml:space="preserve">Simulation Name</t>
  </si>
  <si>
    <t xml:space="preserve">File Name</t>
  </si>
  <si>
    <t xml:space="preserve">SL/HL</t>
  </si>
  <si>
    <t xml:space="preserve">Sim Type</t>
  </si>
  <si>
    <t xml:space="preserve">Status</t>
  </si>
  <si>
    <t xml:space="preserve">Pedagogical Notes</t>
  </si>
  <si>
    <t xml:space="preserve">S1.1</t>
  </si>
  <si>
    <t xml:space="preserve">Introduction to the Particulate Nature of Matter</t>
  </si>
  <si>
    <t xml:space="preserve">States of Matter Particle View</t>
  </si>
  <si>
    <t xml:space="preserve">SimEngine_StatesOfMatter.html</t>
  </si>
  <si>
    <t xml:space="preserve">Both</t>
  </si>
  <si>
    <t xml:space="preserve">Dynamic</t>
  </si>
  <si>
    <t xml:space="preserve">Complete</t>
  </si>
  <si>
    <t xml:space="preserve">Use to introduce particle model; students toggle states and observe Ek distribution. Good opener for S1.1.</t>
  </si>
  <si>
    <t xml:space="preserve">S1.2</t>
  </si>
  <si>
    <t xml:space="preserve">The Nuclear Atom</t>
  </si>
  <si>
    <t xml:space="preserve">Isotope Explorer &amp; Mass Spec &amp; Emission Spectrum</t>
  </si>
  <si>
    <t xml:space="preserve">SimEngine_NuclearAtom.html</t>
  </si>
  <si>
    <t xml:space="preserve">Database</t>
  </si>
  <si>
    <t xml:space="preserve">Three-in-one sim: isotope data, mass spectra interpretation, emission spectrum viewer. Use after introducing atomic structure.</t>
  </si>
  <si>
    <t xml:space="preserve">S1.3</t>
  </si>
  <si>
    <t xml:space="preserve">Electron Configurations</t>
  </si>
  <si>
    <t xml:space="preserve">Electron Configuration Builder</t>
  </si>
  <si>
    <t xml:space="preserve">SimEngine_ElectronConfig.html</t>
  </si>
  <si>
    <t xml:space="preserve">Database + Tool</t>
  </si>
  <si>
    <t xml:space="preserve">Orbital builder with validation, periodic map, and IE trends. Use for practice after teaching Aufbau/Hund/Pauli.</t>
  </si>
  <si>
    <t xml:space="preserve">S1.4</t>
  </si>
  <si>
    <t xml:space="preserve">Counting Particles by Mass: The Mole</t>
  </si>
  <si>
    <t xml:space="preserve">Stoichiometry Workspace</t>
  </si>
  <si>
    <t xml:space="preserve">SimEngine_Stoichiometry.html</t>
  </si>
  <si>
    <t xml:space="preserve">Tool</t>
  </si>
  <si>
    <t xml:space="preserve">Particle diagrams, ICE tables, limiting reagent. Useful for scaffolding mole calculations and visualizing ratios.</t>
  </si>
  <si>
    <t xml:space="preserve">Solution Preparation / Serial Dilution</t>
  </si>
  <si>
    <t xml:space="preserve">Virtual Lab</t>
  </si>
  <si>
    <t xml:space="preserve">Gap</t>
  </si>
  <si>
    <t xml:space="preserve">Planned in syllabus map but not yet built. Would support Tool 1 practical skills.</t>
  </si>
  <si>
    <t xml:space="preserve">S1.5</t>
  </si>
  <si>
    <t xml:space="preserve">Ideal Gases</t>
  </si>
  <si>
    <t xml:space="preserve">Gas Laws Explorer (Conceptual)</t>
  </si>
  <si>
    <t xml:space="preserve">SimEngine_GasLaws.html</t>
  </si>
  <si>
    <t xml:space="preserve">PVT relationships with particle animation and PV=nRT solver. Good for conceptual intro.</t>
  </si>
  <si>
    <t xml:space="preserve">Gas Laws Lab (Boyle/Charles/Gay-Lussac)</t>
  </si>
  <si>
    <t xml:space="preserve">SimEngine_GasLawsLab.html</t>
  </si>
  <si>
    <t xml:space="preserve">Four-canvas lab sim for each gas law. Use as pre-lab or when equipment unavailable.</t>
  </si>
  <si>
    <t xml:space="preserve">S2.1</t>
  </si>
  <si>
    <t xml:space="preserve">The Ionic Model</t>
  </si>
  <si>
    <t xml:space="preserve">Ionic Bonding Visualizer</t>
  </si>
  <si>
    <t xml:space="preserve">SimEngine_IonicBonding.html</t>
  </si>
  <si>
    <t xml:space="preserve">3D rendering, drag-drop atoms, lattice models. Use to demonstrate electron transfer and lattice formation.</t>
  </si>
  <si>
    <t xml:space="preserve">S2.2</t>
  </si>
  <si>
    <t xml:space="preserve">The Covalent Model</t>
  </si>
  <si>
    <t xml:space="preserve">Covalent Bonding (Lewis/Bonding Modes/EN)</t>
  </si>
  <si>
    <t xml:space="preserve">SimEngine_CovalentBonding.html</t>
  </si>
  <si>
    <t xml:space="preserve">Lewis structures, bonding modes, electronegativity. Use alongside VSEPR sim for full bonding unit.</t>
  </si>
  <si>
    <t xml:space="preserve">VSEPR Molecular Geometry</t>
  </si>
  <si>
    <t xml:space="preserve">SimEngine_VSEPR.html</t>
  </si>
  <si>
    <t xml:space="preserve">3D molecule builder with electron pair geometry and bond angles. Pairs with covalent bonding sim.</t>
  </si>
  <si>
    <t xml:space="preserve">S2.3</t>
  </si>
  <si>
    <t xml:space="preserve">The Metallic Model</t>
  </si>
  <si>
    <t xml:space="preserve">Metallic Bonding Visualizer</t>
  </si>
  <si>
    <t xml:space="preserve">SimEngine_MetallicBonding.html</t>
  </si>
  <si>
    <t xml:space="preserve">Sea of electrons, properties, alloys, band theory (HL). Completes the bonding triad.</t>
  </si>
  <si>
    <t xml:space="preserve">S2.4</t>
  </si>
  <si>
    <t xml:space="preserve">From Models to Materials</t>
  </si>
  <si>
    <t xml:space="preserve">IMF Comparison Tool</t>
  </si>
  <si>
    <t xml:space="preserve">SimEngine_IMFComparison.html</t>
  </si>
  <si>
    <t xml:space="preserve">IMF type selector, boiling point predictor, polarity analysis. Use for property prediction exercises.</t>
  </si>
  <si>
    <t xml:space="preserve">Chromatography Sim</t>
  </si>
  <si>
    <t xml:space="preserve">Planned in syllabus map but not yet built. Would cover paper/TLC chromatography and Rf values.</t>
  </si>
  <si>
    <t xml:space="preserve">S3.1</t>
  </si>
  <si>
    <t xml:space="preserve">The Periodic Table: Classification of Elements</t>
  </si>
  <si>
    <t xml:space="preserve">Periodic Trends Explorer</t>
  </si>
  <si>
    <t xml:space="preserve">SimEngine_PeriodicTrends.html</t>
  </si>
  <si>
    <t xml:space="preserve">Four graph canvases: IE, radius, EN trends. Use for guided discovery of periodic patterns.</t>
  </si>
  <si>
    <t xml:space="preserve">Qualitative Analysis Lab</t>
  </si>
  <si>
    <t xml:space="preserve">SimEngine_QualitativeAnalysis.html</t>
  </si>
  <si>
    <t xml:space="preserve">Flame tests (7 ions), precipitation well plate (8×6), ion ID challenge (10 unknowns). Great for review or pre-lab.</t>
  </si>
  <si>
    <t xml:space="preserve">S3.2</t>
  </si>
  <si>
    <t xml:space="preserve">Functional Groups: Classification of Organic Compounds</t>
  </si>
  <si>
    <t xml:space="preserve">Functional Group Explorer</t>
  </si>
  <si>
    <t xml:space="preserve">SimEngine_FunctionalGroups.html</t>
  </si>
  <si>
    <t xml:space="preserve">Functional group explorer and structure builder. Use when introducing organic nomenclature.</t>
  </si>
  <si>
    <t xml:space="preserve">Spectroscopy ID Lab (IR/MS/NMR)</t>
  </si>
  <si>
    <t xml:space="preserve">SimEngine_SpectroscopyLab.html</t>
  </si>
  <si>
    <t xml:space="preserve">4 tabs: IR, MS, NMR (HL), ID Challenge with 12 unknowns. Essential for analytical techniques unit.</t>
  </si>
  <si>
    <t xml:space="preserve">R1.1</t>
  </si>
  <si>
    <t xml:space="preserve">Measuring Enthalpy Changes</t>
  </si>
  <si>
    <t xml:space="preserve">Enthalpy Profile Diagrams</t>
  </si>
  <si>
    <t xml:space="preserve">SimEngine_EnthalpyProfiles.html</t>
  </si>
  <si>
    <t xml:space="preserve">Exo/endothermic diagrams with activation energy visualization. Good conceptual intro to energetics.</t>
  </si>
  <si>
    <t xml:space="preserve">Calorimetry Lab</t>
  </si>
  <si>
    <t xml:space="preserve">SimEngine_CalorimetryLab.html</t>
  </si>
  <si>
    <t xml:space="preserve">Coffee-cup &amp; combustion calorimetry, graphical extrapolation, Hess verification. Use as pre-lab or data analysis practice.</t>
  </si>
  <si>
    <t xml:space="preserve">R1.2</t>
  </si>
  <si>
    <t xml:space="preserve">Energy Cycles in Reactions</t>
  </si>
  <si>
    <t xml:space="preserve">Hess's Law Cycle Builder</t>
  </si>
  <si>
    <t xml:space="preserve">SimEngine_HessLaw.html</t>
  </si>
  <si>
    <t xml:space="preserve">Step-by-step enthalpy cycle construction. Use for guided Hess's law problem solving.</t>
  </si>
  <si>
    <t xml:space="preserve">Born-Haber Cycle Builder (HL)</t>
  </si>
  <si>
    <t xml:space="preserve">SimEngine_BornHaber.html</t>
  </si>
  <si>
    <t xml:space="preserve">HL</t>
  </si>
  <si>
    <t xml:space="preserve">Lattice enthalpy cycles, theoretical vs experimental values. HL only — Born-Haber construction practice.</t>
  </si>
  <si>
    <t xml:space="preserve">R1.3</t>
  </si>
  <si>
    <t xml:space="preserve">Energy from Fuels</t>
  </si>
  <si>
    <t xml:space="preserve">Combustion Calorimetry &amp; Fuel Comparison</t>
  </si>
  <si>
    <t xml:space="preserve">SimEngine_EnergyFromFuels.html</t>
  </si>
  <si>
    <t xml:space="preserve">Virtual Lab + Database</t>
  </si>
  <si>
    <t xml:space="preserve">Combustion calorimetry, fuel comparison, incomplete combustion, energy density (HL). Connects to real-world energy.</t>
  </si>
  <si>
    <t xml:space="preserve">R1.4</t>
  </si>
  <si>
    <t xml:space="preserve">Entropy and Spontaneity (HL)</t>
  </si>
  <si>
    <t xml:space="preserve">Entropy &amp; Gibbs Free Energy</t>
  </si>
  <si>
    <t xml:space="preserve">SimEngine_EntropyGibbs.html</t>
  </si>
  <si>
    <t xml:space="preserve">Dynamic + Tool</t>
  </si>
  <si>
    <t xml:space="preserve">ΔG calculation, spontaneity explorer, temperature effects. HL only — use after teaching entropy concepts.</t>
  </si>
  <si>
    <t xml:space="preserve">R2.1</t>
  </si>
  <si>
    <t xml:space="preserve">How Much? The Amount of Chemical Change</t>
  </si>
  <si>
    <t xml:space="preserve">Stoichiometry Lab (Yield/Atom Economy)</t>
  </si>
  <si>
    <t xml:space="preserve">SimEngine_StoichiometryLab.html</t>
  </si>
  <si>
    <t xml:space="preserve">Percentage yield, experimental design, atom economy (HL), back-titration (HL). Practical stoichiometry skills.</t>
  </si>
  <si>
    <t xml:space="preserve">Titration Lab</t>
  </si>
  <si>
    <t xml:space="preserve">SimEngine_TitrationLab.html</t>
  </si>
  <si>
    <t xml:space="preserve">Acid-base (3 types), redox (KMnO₄), back titration, interactive burette, uncertainty propagation. Multi-purpose.</t>
  </si>
  <si>
    <t xml:space="preserve">R2.2</t>
  </si>
  <si>
    <t xml:space="preserve">How Fast? The Rate of Chemical Change</t>
  </si>
  <si>
    <t xml:space="preserve">Collision Theory Explorer</t>
  </si>
  <si>
    <t xml:space="preserve">SimEngine_CollisionTheory.html</t>
  </si>
  <si>
    <t xml:space="preserve">5 canvases: particle collisions, KE distribution, rate effects. Use for conceptual foundation of kinetics.</t>
  </si>
  <si>
    <t xml:space="preserve">Rate Law Determination</t>
  </si>
  <si>
    <t xml:space="preserve">SimEngine_RateLaw.html</t>
  </si>
  <si>
    <t xml:space="preserve">Rate law determination from experimental data. Use for method of initial rates practice.</t>
  </si>
  <si>
    <t xml:space="preserve">R2.3</t>
  </si>
  <si>
    <t xml:space="preserve">How Far? The Extent of Chemical Change</t>
  </si>
  <si>
    <t xml:space="preserve">Equilibrium Visualizer</t>
  </si>
  <si>
    <t xml:space="preserve">SimEngine_Equilibrium.html</t>
  </si>
  <si>
    <t xml:space="preserve">Concentration vs time, forward/reverse rates, K builder. Core sim for equilibrium concepts.</t>
  </si>
  <si>
    <t xml:space="preserve">R3.1</t>
  </si>
  <si>
    <t xml:space="preserve">Proton Transfer Reactions (Acid-Base)</t>
  </si>
  <si>
    <t xml:space="preserve">Acid-Base Sim</t>
  </si>
  <si>
    <t xml:space="preserve">SimEngine_AcidBase.html</t>
  </si>
  <si>
    <t xml:space="preserve">Virtual Lab + Tool</t>
  </si>
  <si>
    <t xml:space="preserve">Titration sim, beaker visualization, pH graphs, Henderson-Hasselbalch. Comprehensive acid-base coverage.</t>
  </si>
  <si>
    <t xml:space="preserve">R3.2</t>
  </si>
  <si>
    <t xml:space="preserve">Electron Transfer Reactions (Redox)</t>
  </si>
  <si>
    <t xml:space="preserve">Electrochemistry Sim</t>
  </si>
  <si>
    <t xml:space="preserve">SimEngine_Electrochem.html</t>
  </si>
  <si>
    <t xml:space="preserve">Galvanic/voltaic cells, electrode potentials, electron flow. Core redox simulation.</t>
  </si>
  <si>
    <t xml:space="preserve">Rechargeable Battery Sim</t>
  </si>
  <si>
    <t xml:space="preserve">rechargeable_battery_simulation.html</t>
  </si>
  <si>
    <t xml:space="preserve">Li-Ion vs Lead-Acid comparison. Supplementary sim in R3.2 Electrochemistry unit folder.</t>
  </si>
  <si>
    <t xml:space="preserve">R3.3</t>
  </si>
  <si>
    <t xml:space="preserve">Electron Sharing Reactions (HL)</t>
  </si>
  <si>
    <t xml:space="preserve">Organic Mechanisms (SN1/SN2/E/Addition/Radical)</t>
  </si>
  <si>
    <t xml:space="preserve">SimEngine_OrganicMechanisms.html</t>
  </si>
  <si>
    <t xml:space="preserve">SN1, SN2, elimination, electrophilic addition, free radical substitution. Covers all HL mechanisms.</t>
  </si>
  <si>
    <t xml:space="preserve">R3.4</t>
  </si>
  <si>
    <t xml:space="preserve">Electron-Pair Sharing Reactions (HL)</t>
  </si>
  <si>
    <t xml:space="preserve">Nucleophilic Addition (HCN/Condensation/Synthesis)</t>
  </si>
  <si>
    <t xml:space="preserve">SimEngine_NucleophilicAddition.html</t>
  </si>
  <si>
    <t xml:space="preserve">HCN addition to carbonyls, condensation/hydrolysis, synthesis pathways. HL only organic extension.</t>
  </si>
  <si>
    <t xml:space="preserve">Skills</t>
  </si>
  <si>
    <t xml:space="preserve">Math &amp; Practical Skills</t>
  </si>
  <si>
    <t xml:space="preserve">Uncertainty Trainer</t>
  </si>
  <si>
    <t xml:space="preserve">SimEngine_UncertaintyTrainer.html</t>
  </si>
  <si>
    <t xml:space="preserve">Reading uncertainty, propagation, % error, mixed practice. Supports IA and all practical work.</t>
  </si>
  <si>
    <t xml:space="preserve">Graph Interpretation Trainer</t>
  </si>
  <si>
    <t xml:space="preserve">SimEngine_GraphTrainer.html</t>
  </si>
  <si>
    <t xml:space="preserve">Reading graphs (6 types), gradients &amp; rates, graph analysis HL. Cross-cutting data analysis skill.</t>
  </si>
  <si>
    <t xml:space="preserve">Equipment Recognition Trainer</t>
  </si>
  <si>
    <t xml:space="preserve">SimEngine_EquipmentTrainer.html</t>
  </si>
  <si>
    <t xml:space="preserve">26 equipment items, 14 selection scenarios, precision. Supports Tool 1 practical skills.</t>
  </si>
  <si>
    <t xml:space="preserve">Index</t>
  </si>
  <si>
    <t xml:space="preserve">Navigation</t>
  </si>
  <si>
    <t xml:space="preserve">SimEngine Master Index</t>
  </si>
  <si>
    <t xml:space="preserve">SimEngine_Index.html</t>
  </si>
  <si>
    <t xml:space="preserve">Searchable card-based launcher with SL/HL filter. Student-facing entry point for all sims.</t>
  </si>
  <si>
    <t xml:space="preserve">Metric</t>
  </si>
  <si>
    <t xml:space="preserve">Count</t>
  </si>
  <si>
    <t xml:space="preserve">Total Simulations (incl. Index)</t>
  </si>
  <si>
    <t xml:space="preserve">Gaps (Not Yet Built)</t>
  </si>
  <si>
    <t xml:space="preserve">Planned / In Progress</t>
  </si>
  <si>
    <t xml:space="preserve">SL + HL (Both)</t>
  </si>
  <si>
    <t xml:space="preserve">HL Only</t>
  </si>
  <si>
    <t xml:space="preserve">Unique Units Covered</t>
  </si>
  <si>
    <t xml:space="preserve">Pre-Assessment Questions</t>
  </si>
  <si>
    <t xml:space="preserve">Total Prerequisite Questions</t>
  </si>
  <si>
    <t xml:space="preserve">Multiple Choice</t>
  </si>
  <si>
    <t xml:space="preserve">Short Answer</t>
  </si>
  <si>
    <t xml:space="preserve">Prerequisite Units</t>
  </si>
  <si>
    <t xml:space="preserve">Key Prerequisite Knowledge</t>
  </si>
  <si>
    <t xml:space="preserve">Pearson Source Sections</t>
  </si>
  <si>
    <t xml:space="preserve">Particulate Nature of Matter</t>
  </si>
  <si>
    <t xml:space="preserve">None (foundational)</t>
  </si>
  <si>
    <t xml:space="preserve">Basic lab skills; distinction between physical and chemical change; familiarity with elements, compounds, mixtures from prior science courses</t>
  </si>
  <si>
    <t xml:space="preserve">N/A — entry point</t>
  </si>
  <si>
    <t xml:space="preserve">Particle model (atoms as building blocks); element vs compound distinction; symbols for common elements</t>
  </si>
  <si>
    <t xml:space="preserve">S1.1 exercises</t>
  </si>
  <si>
    <t xml:space="preserve">Subatomic particles (p, n, e⁻); atomic number vs mass number; isotope concept; energy levels (shells)</t>
  </si>
  <si>
    <t xml:space="preserve">S1.2 exercises</t>
  </si>
  <si>
    <t xml:space="preserve">The Mole</t>
  </si>
  <si>
    <t xml:space="preserve">S1.1, S1.2</t>
  </si>
  <si>
    <t xml:space="preserve">Atomic mass from periodic table; chemical formula interpretation; ratio/proportion math; unit conversions</t>
  </si>
  <si>
    <t xml:space="preserve">S1.1-S1.2 exercises</t>
  </si>
  <si>
    <t xml:space="preserve">S1.1, S1.4</t>
  </si>
  <si>
    <t xml:space="preserve">Kinetic particle model; temperature as average KE; mole concept; unit conversions (K, kPa, dm³); rearranging equations</t>
  </si>
  <si>
    <t xml:space="preserve">S1.1 + S1.4 exercises</t>
  </si>
  <si>
    <t xml:space="preserve">S1.2, S1.3</t>
  </si>
  <si>
    <t xml:space="preserve">Electron configurations; valence electrons; metals vs non-metals; ions (cation/anion concept); Coulomb attraction concept</t>
  </si>
  <si>
    <t xml:space="preserve">S1.2-S1.3 exercises</t>
  </si>
  <si>
    <t xml:space="preserve">S1.3, S2.1</t>
  </si>
  <si>
    <t xml:space="preserve">Electron configurations; valence electrons; electronegativity concept; distinction from ionic bonding; drawing Lewis dot diagrams for atoms</t>
  </si>
  <si>
    <t xml:space="preserve">S1.3 + S2.1 exercises</t>
  </si>
  <si>
    <t xml:space="preserve">Metal position on periodic table; electron configurations of metals; delocalized vs localized electrons; physical properties (conductivity, malleability)</t>
  </si>
  <si>
    <t xml:space="preserve">S2.1, S2.2, S2.3</t>
  </si>
  <si>
    <t xml:space="preserve">All three bonding models; electronegativity and polarity; molecular geometry (VSEPR basics); physical property trends</t>
  </si>
  <si>
    <t xml:space="preserve">S2.1-S2.3 exercises</t>
  </si>
  <si>
    <t xml:space="preserve">The Periodic Table</t>
  </si>
  <si>
    <t xml:space="preserve">Electron configurations up to Z=36; subshells (s, p, d); first ionization energy concept; atomic radius; periodic table layout (periods, groups, blocks)</t>
  </si>
  <si>
    <t xml:space="preserve">Functional Groups (Organic)</t>
  </si>
  <si>
    <t xml:space="preserve">S2.2, S1.4</t>
  </si>
  <si>
    <t xml:space="preserve">Covalent bonding; Lewis structures; structural formulas; carbon bonding (4 bonds); mole calculations for molecular formula</t>
  </si>
  <si>
    <t xml:space="preserve">S2.2 + S1.4 exercises</t>
  </si>
  <si>
    <t xml:space="preserve">S1.4, S2.2</t>
  </si>
  <si>
    <t xml:space="preserve">Mole calculations; bond concept (breaking/forming); energy conservation; q = mcΔT (may be new); temperature vs heat distinction</t>
  </si>
  <si>
    <t xml:space="preserve">S1.4 + S2.2 exercises</t>
  </si>
  <si>
    <t xml:space="preserve">Energy Cycles</t>
  </si>
  <si>
    <t xml:space="preserve">R1.1, S2.1</t>
  </si>
  <si>
    <t xml:space="preserve">Enthalpy change concept (ΔH); exo vs endothermic; Hess's law concept; ionic bonding and lattice concept (for Born-Haber)</t>
  </si>
  <si>
    <t xml:space="preserve">R1.1 exercises</t>
  </si>
  <si>
    <t xml:space="preserve">R1.1, S1.4</t>
  </si>
  <si>
    <t xml:space="preserve">Enthalpy of combustion; calorimetry (q = mcΔT); mole calculations; balanced combustion equations; specific energy concept</t>
  </si>
  <si>
    <t xml:space="preserve">R1.1 + S1.4 exercises</t>
  </si>
  <si>
    <t xml:space="preserve">Entropy &amp; Spontaneity (HL)</t>
  </si>
  <si>
    <t xml:space="preserve">R1.1, S1.1</t>
  </si>
  <si>
    <t xml:space="preserve">Enthalpy changes; particle model (order/disorder); probability concepts; algebraic manipulation (ΔG = ΔH - TΔS)</t>
  </si>
  <si>
    <t xml:space="preserve">R1.1 + S1.1 exercises</t>
  </si>
  <si>
    <t xml:space="preserve">Amount of Chemical Change</t>
  </si>
  <si>
    <t xml:space="preserve">S1.4, R1.1</t>
  </si>
  <si>
    <t xml:space="preserve">Mole ratios from balanced equations; limiting reagent concept; concentration (mol/dm³); mass-mole conversions</t>
  </si>
  <si>
    <t xml:space="preserve">S1.4 + R1.1 exercises</t>
  </si>
  <si>
    <t xml:space="preserve">Rate of Chemical Change</t>
  </si>
  <si>
    <t xml:space="preserve">S1.1, S1.5, R2.1</t>
  </si>
  <si>
    <t xml:space="preserve">Kinetic particle model; temperature and KE relationship; concentration; collision concept; balanced equations</t>
  </si>
  <si>
    <t xml:space="preserve">S1.1 + S1.5 + R2.1 exercises</t>
  </si>
  <si>
    <t xml:space="preserve">Extent of Chemical Change</t>
  </si>
  <si>
    <t xml:space="preserve">R2.2, S1.4</t>
  </si>
  <si>
    <t xml:space="preserve">Reversible reactions; rate concepts (forward/reverse); mole ratios; concentration calculations; ICE table structure (may be new)</t>
  </si>
  <si>
    <t xml:space="preserve">R2.2 + S1.4 exercises</t>
  </si>
  <si>
    <t xml:space="preserve">Acid-Base (Proton Transfer)</t>
  </si>
  <si>
    <t xml:space="preserve">S1.4, R2.3</t>
  </si>
  <si>
    <t xml:space="preserve">Mole calculations; concentration; equilibrium concept (Kc); proton concept from atomic structure; logarithms (for pH)</t>
  </si>
  <si>
    <t xml:space="preserve">S1.4 + R2.3 exercises</t>
  </si>
  <si>
    <t xml:space="preserve">Redox (Electron Transfer)</t>
  </si>
  <si>
    <t xml:space="preserve">S1.3, S2.1, R2.1</t>
  </si>
  <si>
    <t xml:space="preserve">Electron configurations; ion formation; oxidation states concept; balancing equations; activity series (may be new)</t>
  </si>
  <si>
    <t xml:space="preserve">Electron Sharing (HL)</t>
  </si>
  <si>
    <t xml:space="preserve">S2.2, S3.2</t>
  </si>
  <si>
    <t xml:space="preserve">Lewis structures; electronegativity; functional groups; curly arrow notation (may be new); nucleophile/electrophile concept</t>
  </si>
  <si>
    <t xml:space="preserve">S2.2 + S3.2 exercises</t>
  </si>
  <si>
    <t xml:space="preserve">Electron-Pair Sharing (HL)</t>
  </si>
  <si>
    <t xml:space="preserve">R3.3, S3.2</t>
  </si>
  <si>
    <t xml:space="preserve">Nucleophilic substitution mechanisms; carbonyl group structure; functional group interconversions; condensation/hydrolysis concept</t>
  </si>
  <si>
    <t xml:space="preserve">R3.3 + S3.2 exercises</t>
  </si>
  <si>
    <t xml:space="preserve">Q#</t>
  </si>
  <si>
    <t xml:space="preserve">Type</t>
  </si>
  <si>
    <t xml:space="preserve">Question</t>
  </si>
  <si>
    <t xml:space="preserve">Answer Key</t>
  </si>
  <si>
    <t xml:space="preserve">Prerequisite From</t>
  </si>
  <si>
    <t xml:space="preserve">Pearson Ref</t>
  </si>
  <si>
    <t xml:space="preserve">MC</t>
  </si>
  <si>
    <t xml:space="preserve">Which of the following is a compound?
A. O₂
B. Air
C. NaCl
D. Bronze</t>
  </si>
  <si>
    <t xml:space="preserve">C — NaCl is made of two different elements chemically bonded.</t>
  </si>
  <si>
    <t xml:space="preserve">Prior science</t>
  </si>
  <si>
    <t xml:space="preserve">—</t>
  </si>
  <si>
    <t xml:space="preserve">A student heats ice until it becomes steam. How many phase changes occur?
A. 1
B. 2
C. 3
D. 4</t>
  </si>
  <si>
    <t xml:space="preserve">B — melting (solid→liquid) and boiling (liquid→gas).</t>
  </si>
  <si>
    <t xml:space="preserve">SA</t>
  </si>
  <si>
    <t xml:space="preserve">State two differences between a physical change and a chemical change.</t>
  </si>
  <si>
    <t xml:space="preserve">Physical: no new substance formed, usually reversible; Chemical: new substance formed, energy change, often irreversible.</t>
  </si>
  <si>
    <t xml:space="preserve">Which separation technique would best separate salt dissolved in water?
A. Filtration
B. Evaporation
C. Chromatography
D. Distillation</t>
  </si>
  <si>
    <t xml:space="preserve">B — Evaporation removes water, leaving solid salt behind.</t>
  </si>
  <si>
    <t xml:space="preserve">Draw a simple particle diagram showing the arrangement of particles in a solid, liquid, and gas.</t>
  </si>
  <si>
    <t xml:space="preserve">Solid: tightly packed regular arrangement; Liquid: close but irregular, some movement; Gas: widely spaced, random, fast movement.</t>
  </si>
  <si>
    <t xml:space="preserve">Which subatomic particle has a negative charge?
A. Proton
B. Neutron
C. Electron
D. Nucleus</t>
  </si>
  <si>
    <t xml:space="preserve">C — Electrons carry a charge of -1.</t>
  </si>
  <si>
    <t xml:space="preserve">An atom has 11 protons and 12 neutrons. What is its mass number?
A. 11
B. 12
C. 23
D. 1</t>
  </si>
  <si>
    <t xml:space="preserve">C — Mass number = protons + neutrons = 11 + 12 = 23.</t>
  </si>
  <si>
    <t xml:space="preserve">Define the term "element" and explain how elements differ from compounds.</t>
  </si>
  <si>
    <t xml:space="preserve">An element is a substance made of only one type of atom (same atomic number). Compounds contain two or more different elements chemically bonded in fixed ratios.</t>
  </si>
  <si>
    <t xml:space="preserve">S1.1-EX series</t>
  </si>
  <si>
    <t xml:space="preserve">Where is most of the mass of an atom located?
A. Electron cloud
B. Nucleus
C. Outer shell
D. Evenly distributed</t>
  </si>
  <si>
    <t xml:space="preserve">B — The nucleus contains protons and neutrons, which account for nearly all the mass.</t>
  </si>
  <si>
    <t xml:space="preserve">Explain why atoms are electrically neutral.</t>
  </si>
  <si>
    <t xml:space="preserve">The number of protons (positive) equals the number of electrons (negative), so charges cancel out.</t>
  </si>
  <si>
    <t xml:space="preserve">An element has two isotopes: one with mass 35 (75%) and one with mass 37 (25%). Calculate the relative atomic mass.</t>
  </si>
  <si>
    <t xml:space="preserve">RAM = (35 × 0.75) + (37 × 0.25) = 26.25 + 9.25 = 35.5</t>
  </si>
  <si>
    <t xml:space="preserve">S1.2-WE01</t>
  </si>
  <si>
    <t xml:space="preserve">How many electrons does a neutral atom of sodium (Z=11) have?
A. 10
B. 11
C. 12
D. 23</t>
  </si>
  <si>
    <t xml:space="preserve">B — Neutral atom: electrons = protons = atomic number = 11.</t>
  </si>
  <si>
    <t xml:space="preserve">S1.2-EX series</t>
  </si>
  <si>
    <t xml:space="preserve">State the charge and relative mass of a proton, neutron, and electron.</t>
  </si>
  <si>
    <t xml:space="preserve">Proton: +1 charge, mass ≈ 1; Neutron: 0 charge, mass ≈ 1; Electron: -1 charge, mass ≈ 1/1836 (negligible).</t>
  </si>
  <si>
    <t xml:space="preserve">Which of the following correctly shows the electron arrangement of oxygen (Z=8)?
A. 2,8
B. 2,6
C. 8
D. 2,4,2</t>
  </si>
  <si>
    <t xml:space="preserve">B — Oxygen: 2 electrons in first shell, 6 in second shell.</t>
  </si>
  <si>
    <t xml:space="preserve">S1.2-PQ series</t>
  </si>
  <si>
    <t xml:space="preserve">How many protons and electrons are in a Mg²⁺ ion?</t>
  </si>
  <si>
    <t xml:space="preserve">12 protons, 10 electrons (lost 2 electrons to form 2+ charge).</t>
  </si>
  <si>
    <t xml:space="preserve">What is the maximum number of electrons that can occupy the second energy level?
A. 2
B. 6
C. 8
D. 10</t>
  </si>
  <si>
    <t xml:space="preserve">C — Second energy level holds a maximum of 8 electrons (2 in s, 6 in p).</t>
  </si>
  <si>
    <t xml:space="preserve">Explain why elements in the same group of the periodic table have similar chemical properties.</t>
  </si>
  <si>
    <t xml:space="preserve">Same number of valence (outer shell) electrons, which determines chemical reactivity and bonding behavior.</t>
  </si>
  <si>
    <t xml:space="preserve">What is the relative formula mass of H₂O? (H=1, O=16)
A. 17
B. 18
C. 19
D. 20</t>
  </si>
  <si>
    <t xml:space="preserve">B — (2×1) + 16 = 18</t>
  </si>
  <si>
    <t xml:space="preserve">Write the chemical formula for magnesium chloride given that magnesium forms Mg²⁺ and chlorine forms Cl⁻.</t>
  </si>
  <si>
    <t xml:space="preserve">MgCl₂ — need two Cl⁻ ions to balance the 2+ charge of Mg²⁺.</t>
  </si>
  <si>
    <t xml:space="preserve">S1.3-EX series</t>
  </si>
  <si>
    <t xml:space="preserve">In the balanced equation 2H₂ + O₂ → 2H₂O, what is the mole ratio of H₂ to O₂?
A. 1:1
B. 1:2
C. 2:1
D. 2:2</t>
  </si>
  <si>
    <t xml:space="preserve">C — Coefficients give the ratio: 2 mol H₂ for every 1 mol O₂.</t>
  </si>
  <si>
    <t xml:space="preserve">Convert 250 cm³ to dm³.</t>
  </si>
  <si>
    <t xml:space="preserve">250 cm³ ÷ 1000 = 0.250 dm³</t>
  </si>
  <si>
    <t xml:space="preserve">Math</t>
  </si>
  <si>
    <t xml:space="preserve">Calculate the number of moles in 46 g of sodium (Na, Ar = 23).</t>
  </si>
  <si>
    <t xml:space="preserve">n = mass / molar mass = 46 / 23 = 2.0 mol</t>
  </si>
  <si>
    <t xml:space="preserve">S1.4-WE01</t>
  </si>
  <si>
    <t xml:space="preserve">If 0.5 mol of NaCl is dissolved in 250 cm³ of water, what is the concentration?
A. 0.5 mol dm⁻³
B. 1.0 mol dm⁻³
C. 2.0 mol dm⁻³
D. 0.25 mol dm⁻³</t>
  </si>
  <si>
    <t xml:space="preserve">C — c = n/V = 0.5/0.25 = 2.0 mol dm⁻³</t>
  </si>
  <si>
    <t xml:space="preserve">S1.4-WE series</t>
  </si>
  <si>
    <t xml:space="preserve">Describe the motion of particles in a gas according to the kinetic molecular theory.</t>
  </si>
  <si>
    <t xml:space="preserve">Gas particles move in constant, random, straight-line motion; collisions are elastic; negligible intermolecular forces; particle volume negligible compared to container.</t>
  </si>
  <si>
    <t xml:space="preserve">Convert 25°C to Kelvin.
A. 248 K
B. 273 K
C. 298 K
D. 325 K</t>
  </si>
  <si>
    <t xml:space="preserve">C — K = °C + 273 = 25 + 273 = 298 K</t>
  </si>
  <si>
    <t xml:space="preserve">Calculate the number of moles in 4.8 dm³ of gas at STP (molar volume = 22.7 dm³ mol⁻¹).</t>
  </si>
  <si>
    <t xml:space="preserve">n = V / Vm = 4.8 / 22.7 = 0.211 mol</t>
  </si>
  <si>
    <t xml:space="preserve">What happens to the pressure of a fixed amount of gas if the temperature increases and volume stays constant?
A. Decreases
B. Stays the same
C. Increases
D. Cannot be determined</t>
  </si>
  <si>
    <t xml:space="preserve">C — Higher T → faster particles → more frequent/forceful collisions → higher P.</t>
  </si>
  <si>
    <t xml:space="preserve">S1.1-PQ series</t>
  </si>
  <si>
    <t xml:space="preserve">Rearrange PV = nRT to solve for V.</t>
  </si>
  <si>
    <t xml:space="preserve">V = nRT / P</t>
  </si>
  <si>
    <t xml:space="preserve">How many valence electrons does chlorine (Z=17) have?
A. 1
B. 3
C. 7
D. 17</t>
  </si>
  <si>
    <t xml:space="preserve">C — Electron config: 2,8,7 → 7 valence electrons.</t>
  </si>
  <si>
    <t xml:space="preserve">Write the electron configuration of Na (Z=11) and Cl (Z=17).</t>
  </si>
  <si>
    <t xml:space="preserve">Na: 2,8,1 (or 1s²2s²2p⁶3s¹); Cl: 2,8,7 (or 1s²2s²2p⁶3s²3p⁵)</t>
  </si>
  <si>
    <t xml:space="preserve">Metals typically form ions by:
A. Gaining electrons
B. Losing electrons
C. Sharing electrons
D. Gaining protons</t>
  </si>
  <si>
    <t xml:space="preserve">B — Metals lose valence electrons to form positive cations.</t>
  </si>
  <si>
    <t xml:space="preserve">S1.3-PQ series</t>
  </si>
  <si>
    <t xml:space="preserve">Explain what happens to a sodium atom when it forms an Na⁺ ion.</t>
  </si>
  <si>
    <t xml:space="preserve">It loses 1 electron from its outer shell (3s¹ → empty 3rd shell), leaving 10 electrons but still 11 protons, giving a net +1 charge.</t>
  </si>
  <si>
    <t xml:space="preserve">Where are metals generally found on the periodic table?
A. Right side
B. Left side and center
C. Top only
D. Noble gas column</t>
  </si>
  <si>
    <t xml:space="preserve">B — Metals are on the left and center (s-block and d-block).</t>
  </si>
  <si>
    <t xml:space="preserve">State what is meant by "electrostatic attraction" and give an example from chemistry.</t>
  </si>
  <si>
    <t xml:space="preserve">The force of attraction between opposite charges. Example: attraction between Na⁺ and Cl⁻ ions in NaCl, or attraction between nucleus and electrons.</t>
  </si>
  <si>
    <t xml:space="preserve">Write the electron configuration of carbon (Z=6) and state how many covalent bonds it typically forms.</t>
  </si>
  <si>
    <t xml:space="preserve">Config: 2,4 (or 1s²2s²2p²). Carbon has 4 valence electrons and needs 4 more, so it typically forms 4 covalent bonds.</t>
  </si>
  <si>
    <t xml:space="preserve">An ionic bond forms between:
A. Two metals
B. Two non-metals
C. A metal and a non-metal
D. Noble gases</t>
  </si>
  <si>
    <t xml:space="preserve">C — Ionic bonds form between metals (electron donors) and non-metals (electron acceptors).</t>
  </si>
  <si>
    <t xml:space="preserve">S2.1-EX01</t>
  </si>
  <si>
    <t xml:space="preserve">Define electronegativity.</t>
  </si>
  <si>
    <t xml:space="preserve">The ability of an atom to attract a bonding pair of electrons in a covalent bond.</t>
  </si>
  <si>
    <t xml:space="preserve">How many lone pairs does nitrogen have in NH₃?
A. 0
B. 1
C. 2
D. 3</t>
  </si>
  <si>
    <t xml:space="preserve">B — N has 5 valence electrons; 3 bonding pairs (N-H) and 1 lone pair.</t>
  </si>
  <si>
    <t xml:space="preserve">Draw the Lewis dot structure for water (H₂O) showing all bonding and lone pairs.</t>
  </si>
  <si>
    <t xml:space="preserve">O in center with 2 bonding pairs (to each H) and 2 lone pairs on O. Total: 8 electrons around O.</t>
  </si>
  <si>
    <t xml:space="preserve">S2.1-EX series</t>
  </si>
  <si>
    <t xml:space="preserve">Which element has the highest electronegativity?
A. Na
B. Cl
C. F
D. Cs</t>
  </si>
  <si>
    <t xml:space="preserve">C — Fluorine has the highest electronegativity (4.0 on Pauling scale).</t>
  </si>
  <si>
    <t xml:space="preserve">Which of the following is a property of metals?
A. Brittle
B. Poor conductor
C. Malleable
D. Low melting point</t>
  </si>
  <si>
    <t xml:space="preserve">C — Metals are malleable (can be hammered into shape).</t>
  </si>
  <si>
    <t xml:space="preserve">Write the electron configuration of iron (Z=26) and identify how many electrons are in the outermost shell.</t>
  </si>
  <si>
    <t xml:space="preserve">Fe: 1s²2s²2p⁶3s²3p⁶3d⁶4s² — 2 electrons in outermost shell (4s).</t>
  </si>
  <si>
    <t xml:space="preserve">What type of bonding exists in pure copper?
A. Ionic
B. Covalent
C. Metallic
D. Hydrogen bonding</t>
  </si>
  <si>
    <t xml:space="preserve">C — Pure metals have metallic bonding.</t>
  </si>
  <si>
    <t xml:space="preserve">Explain why ionic compounds do not conduct electricity as solids but do when molten.</t>
  </si>
  <si>
    <t xml:space="preserve">Solid: ions in fixed lattice positions, cannot move. Molten: ions free to move and carry charge.</t>
  </si>
  <si>
    <t xml:space="preserve">Compare the bonding in NaCl and Cu in terms of what particles are involved and how they are held together.</t>
  </si>
  <si>
    <t xml:space="preserve">NaCl: cations and anions held by electrostatic attraction (ionic). Cu: cations in a lattice surrounded by delocalized electrons (metallic).</t>
  </si>
  <si>
    <t xml:space="preserve">Which type of bonding is found in diamond?
A. Ionic
B. Metallic
C. Covalent network
D. Van der Waals</t>
  </si>
  <si>
    <t xml:space="preserve">C — Diamond is a covalent network solid with each C bonded to 4 others.</t>
  </si>
  <si>
    <t xml:space="preserve">S2.2-EX series</t>
  </si>
  <si>
    <t xml:space="preserve">List the three types of intermolecular forces in order of increasing strength.</t>
  </si>
  <si>
    <t xml:space="preserve">London dispersion forces &lt; dipole-dipole &lt; hydrogen bonding.</t>
  </si>
  <si>
    <t xml:space="preserve">S2.2-PQ series</t>
  </si>
  <si>
    <t xml:space="preserve">Which molecule can form hydrogen bonds?
A. CH₄
B. CO₂
C. HF
D. CCl₄</t>
  </si>
  <si>
    <t xml:space="preserve">C — HF has H bonded directly to F (highly electronegative), enabling H-bonding.</t>
  </si>
  <si>
    <t xml:space="preserve">Explain why NaCl has a much higher melting point than ice (H₂O).</t>
  </si>
  <si>
    <t xml:space="preserve">NaCl: strong ionic bonds between ions in a lattice (high energy to break). Ice: only hydrogen bonds between molecules (much weaker than ionic bonds).</t>
  </si>
  <si>
    <t xml:space="preserve">S2.1, S2.2</t>
  </si>
  <si>
    <t xml:space="preserve">S2.1/S2.2 exercises</t>
  </si>
  <si>
    <t xml:space="preserve">Determine the shape of CO₂ and H₂O using VSEPR theory and explain why one is polar and the other is not.</t>
  </si>
  <si>
    <t xml:space="preserve">CO₂: linear (180°), bond dipoles cancel → non-polar. H₂O: bent (104.5°), bond dipoles do not cancel → polar.</t>
  </si>
  <si>
    <t xml:space="preserve">Which substance would you expect to have the highest boiling point?
A. He
B. H₂O
C. CH₄
D. Ne</t>
  </si>
  <si>
    <t xml:space="preserve">B — H₂O has hydrogen bonding (strongest IMF of these options).</t>
  </si>
  <si>
    <t xml:space="preserve">Write the full electron configuration of potassium (Z=19).</t>
  </si>
  <si>
    <t xml:space="preserve">1s²2s²2p⁶3s²3p⁶4s¹</t>
  </si>
  <si>
    <t xml:space="preserve">Which block of the periodic table contains the transition metals?
A. s-block
B. p-block
C. d-block
D. f-block</t>
  </si>
  <si>
    <t xml:space="preserve">C — Transition metals are in the d-block.</t>
  </si>
  <si>
    <t xml:space="preserve">Define first ionization energy and write the equation for the first ionization of magnesium.</t>
  </si>
  <si>
    <t xml:space="preserve">Energy required to remove one mole of electrons from one mole of gaseous atoms. Mg(g) → Mg⁺(g) + e⁻</t>
  </si>
  <si>
    <t xml:space="preserve">Across a period (left to right), atomic radius generally:
A. Increases
B. Decreases
C. Stays the same
D. Increases then decreases</t>
  </si>
  <si>
    <t xml:space="preserve">B — More protons, greater nuclear charge, pulls electrons closer.</t>
  </si>
  <si>
    <t xml:space="preserve">Explain why sodium is more reactive than magnesium.</t>
  </si>
  <si>
    <t xml:space="preserve">Na has 1 valence electron (easier to lose); Mg has 2 (more energy needed). Also, Na has lower IE₁ than Mg.</t>
  </si>
  <si>
    <t xml:space="preserve">S1.3-CY01</t>
  </si>
  <si>
    <t xml:space="preserve">Which of the following has the largest atomic radius?
A. Li
B. Na
C. K
D. Be</t>
  </si>
  <si>
    <t xml:space="preserve">C — K is lowest in group 1 (of those listed), so largest radius going down the group.</t>
  </si>
  <si>
    <t xml:space="preserve">Draw the structural formula of ethanol (C₂H₅OH) showing all bonds.</t>
  </si>
  <si>
    <t xml:space="preserve">H-C-C-O-H with hydrogens completing 4 bonds on each carbon. (CH₃-CH₂-OH expanded)</t>
  </si>
  <si>
    <t xml:space="preserve">Carbon can form 4 bonds because it has:
A. 4 protons
B. 4 neutrons
C. 4 valence electrons
D. 4 energy levels</t>
  </si>
  <si>
    <t xml:space="preserve">C — 4 valence electrons, each available for sharing in covalent bonds.</t>
  </si>
  <si>
    <t xml:space="preserve">S1.3, S2.2</t>
  </si>
  <si>
    <t xml:space="preserve">Calculate the molar mass of ethanoic acid (CH₃COOH). (C=12, H=1, O=16)</t>
  </si>
  <si>
    <t xml:space="preserve">M = 2(12) + 4(1) + 2(16) = 24 + 4 + 32 = 60 g mol⁻¹</t>
  </si>
  <si>
    <t xml:space="preserve">What is the general formula for alkanes?
A. CₙH₂ₙ
B. CₙH₂ₙ₊₂
C. CₙH₂ₙ₋₂
D. CₙHₙ</t>
  </si>
  <si>
    <t xml:space="preserve">B — Alkanes are saturated hydrocarbons: CₙH₂ₙ₊₂.</t>
  </si>
  <si>
    <t xml:space="preserve">Explain the difference between a single covalent bond and a double covalent bond, with one example of each.</t>
  </si>
  <si>
    <t xml:space="preserve">Single bond: 1 shared pair of electrons (e.g., H-H). Double bond: 2 shared pairs (e.g., O=O). Double bonds are shorter and stronger.</t>
  </si>
  <si>
    <t xml:space="preserve">Which functional group is present in CH₃CH₂OH?
A. Carboxyl
B. Hydroxyl
C. Amino
D. Carbonyl</t>
  </si>
  <si>
    <t xml:space="preserve">B — The -OH group is a hydroxyl group, making this an alcohol.</t>
  </si>
  <si>
    <t xml:space="preserve">In an exothermic reaction, energy is:
A. Absorbed from surroundings
B. Released to surroundings
C. Neither absorbed nor released
D. Converted to mass</t>
  </si>
  <si>
    <t xml:space="preserve">B — Exothermic reactions release energy (ΔH is negative).</t>
  </si>
  <si>
    <t xml:space="preserve">Calculate the number of moles of NaOH in 50.0 cm³ of 0.200 mol dm⁻³ solution.</t>
  </si>
  <si>
    <t xml:space="preserve">n = c × V = 0.200 × 0.0500 = 0.0100 mol</t>
  </si>
  <si>
    <t xml:space="preserve">Breaking chemical bonds requires:
A. Release of energy
B. Input of energy
C. No energy change
D. A catalyst</t>
  </si>
  <si>
    <t xml:space="preserve">B — Bond breaking is endothermic (energy input needed).</t>
  </si>
  <si>
    <t xml:space="preserve">A reaction heats 100 g of water by 15°C. Calculate q. (c = 4.18 J g⁻¹ K⁻¹)</t>
  </si>
  <si>
    <t xml:space="preserve">q = mcΔT = 100 × 4.18 × 15 = 6270 J = 6.27 kJ</t>
  </si>
  <si>
    <t xml:space="preserve">Explain the difference between temperature and heat.</t>
  </si>
  <si>
    <t xml:space="preserve">Temperature: measure of average kinetic energy of particles (in K or °C). Heat: total energy transferred between objects due to temperature difference (in J or kJ).</t>
  </si>
  <si>
    <t xml:space="preserve">Which bond is stronger: C-C (346 kJ/mol) or C=C (614 kJ/mol)?
A. C-C
B. C=C
C. They are equal
D. Cannot be determined</t>
  </si>
  <si>
    <t xml:space="preserve">B — Higher bond enthalpy means more energy needed to break = stronger bond.</t>
  </si>
  <si>
    <t xml:space="preserve">State Hess's Law in your own words.</t>
  </si>
  <si>
    <t xml:space="preserve">The total enthalpy change for a reaction is independent of the route taken, provided the initial and final conditions are the same.</t>
  </si>
  <si>
    <t xml:space="preserve">R1.1-EX series</t>
  </si>
  <si>
    <t xml:space="preserve">If a reaction has ΔH = -285 kJ mol⁻¹, it is:
A. Endothermic
B. Exothermic
C. At equilibrium
D. Spontaneous</t>
  </si>
  <si>
    <t xml:space="preserve">B — Negative ΔH indicates an exothermic reaction.</t>
  </si>
  <si>
    <t xml:space="preserve">Draw a labelled enthalpy level diagram for an exothermic reaction, showing reactants, products, and ΔH.</t>
  </si>
  <si>
    <t xml:space="preserve">Reactants at higher enthalpy level, products at lower level. Arrow pointing down labelled ΔH (negative). Activation energy hill shown.</t>
  </si>
  <si>
    <t xml:space="preserve">R1.1-PQ series</t>
  </si>
  <si>
    <t xml:space="preserve">Calculate ΔH for: C + O₂ → CO₂ given: C + ½O₂ → CO (ΔH = -110 kJ) and CO + ½O₂ → CO₂ (ΔH = -283 kJ).</t>
  </si>
  <si>
    <t xml:space="preserve">By Hess's law: ΔH = -110 + (-283) = -393 kJ mol⁻¹</t>
  </si>
  <si>
    <t xml:space="preserve">R1.1-WE series</t>
  </si>
  <si>
    <t xml:space="preserve">What is the standard enthalpy of formation of an element in its standard state?
A. Variable
B. -1 kJ
C. 0 kJ
D. Unknown</t>
  </si>
  <si>
    <t xml:space="preserve">C — By definition, ΔHf° of an element in its standard state is zero.</t>
  </si>
  <si>
    <t xml:space="preserve">Write the electron configuration of Na⁺ and Cl⁻. (Needed for Born-Haber understanding)</t>
  </si>
  <si>
    <t xml:space="preserve">Na⁺: 1s²2s²2p⁶ (lost 3s¹ electron); Cl⁻: 1s²2s²2p⁶3s²3p⁶ (gained 1 electron). Both isoelectronic with Ne/Ar.</t>
  </si>
  <si>
    <t xml:space="preserve">S1.3-EX / S2.1-EX</t>
  </si>
  <si>
    <t xml:space="preserve">Write a balanced equation for the complete combustion of ethanol (C₂H₅OH).</t>
  </si>
  <si>
    <t xml:space="preserve">C₂H₅OH + 3O₂ → 2CO₂ + 3H₂O</t>
  </si>
  <si>
    <t xml:space="preserve">R2.1-WE01</t>
  </si>
  <si>
    <t xml:space="preserve">In a calorimetry experiment, which assumption is typically made?
A. All energy goes to heating water
B. The container absorbs all energy
C. No heat is lost
D. Both A and C</t>
  </si>
  <si>
    <t xml:space="preserve">D — We assume no heat loss and all energy heats the water.</t>
  </si>
  <si>
    <t xml:space="preserve">Calculate the enthalpy of combustion per gram of methane (CH₄) if ΔHc = -890 kJ mol⁻¹. (M = 16 g/mol)</t>
  </si>
  <si>
    <t xml:space="preserve">ΔHc per gram = -890 / 16 = -55.6 kJ g⁻¹</t>
  </si>
  <si>
    <t xml:space="preserve">Which produces more CO₂ per mole: complete or incomplete combustion?
A. Complete
B. Incomplete
C. Same amount
D. Depends on the fuel</t>
  </si>
  <si>
    <t xml:space="preserve">A — Complete combustion converts all C to CO₂; incomplete produces CO and/or C.</t>
  </si>
  <si>
    <t xml:space="preserve">Define "specific energy" of a fuel and state its units.</t>
  </si>
  <si>
    <t xml:space="preserve">Energy released per unit mass of fuel burned. Units: kJ g⁻¹ (or MJ kg⁻¹).</t>
  </si>
  <si>
    <t xml:space="preserve">Arrange these in order of increasing entropy: solid iron, liquid water, oxygen gas.</t>
  </si>
  <si>
    <t xml:space="preserve">Solid iron &lt; liquid water &lt; oxygen gas. Entropy increases: solid → liquid → gas.</t>
  </si>
  <si>
    <t xml:space="preserve">For an exothermic reaction (ΔH &lt; 0) with increasing entropy (ΔS &gt; 0), the reaction is:
A. Always spontaneous
B. Never spontaneous
C. Spontaneous at high T only
D. Spontaneous at low T only</t>
  </si>
  <si>
    <t xml:space="preserve">A — When ΔH &lt; 0 and ΔS &gt; 0, ΔG = ΔH - TΔS is always negative.</t>
  </si>
  <si>
    <t xml:space="preserve">Calculate ΔG given ΔH = -100 kJ mol⁻¹, ΔS = +200 J K⁻¹ mol⁻¹, T = 298 K.</t>
  </si>
  <si>
    <t xml:space="preserve">ΔG = ΔH - TΔS = -100 - (298 × 0.200) = -100 - 59.6 = -159.6 kJ mol⁻¹ (note: convert ΔS to kJ)</t>
  </si>
  <si>
    <t xml:space="preserve">R1.1, Math</t>
  </si>
  <si>
    <t xml:space="preserve">Which process has a positive entropy change?
A. Freezing water
B. Dissolving salt in water
C. Condensation of steam
D. Formation of a precipitate</t>
  </si>
  <si>
    <t xml:space="preserve">B — Dissolving increases disorder (particles spread from ordered lattice to solution).</t>
  </si>
  <si>
    <t xml:space="preserve">S1.1, S2.1</t>
  </si>
  <si>
    <t xml:space="preserve">State the relationship between ΔG and spontaneity.</t>
  </si>
  <si>
    <t xml:space="preserve">ΔG &lt; 0: spontaneous (thermodynamically favorable). ΔG &gt; 0: non-spontaneous. ΔG = 0: at equilibrium.</t>
  </si>
  <si>
    <t xml:space="preserve">Balance: Al + HCl → AlCl₃ + H₂</t>
  </si>
  <si>
    <t xml:space="preserve">2Al + 6HCl → 2AlCl₃ + 3H₂</t>
  </si>
  <si>
    <t xml:space="preserve">R2.1-EX01</t>
  </si>
  <si>
    <t xml:space="preserve">In the reaction N₂ + 3H₂ → 2NH₃, if you start with 1 mol N₂ and 2 mol H₂, the limiting reagent is:
A. N₂
B. H₂
C. NH₃
D. Neither</t>
  </si>
  <si>
    <t xml:space="preserve">B — Need 3 mol H₂ per mol N₂, but only have 2 mol. H₂ runs out first.</t>
  </si>
  <si>
    <t xml:space="preserve">S1.4-EX series</t>
  </si>
  <si>
    <t xml:space="preserve">Calculate the mass of CO₂ produced from 0.25 mol of CaCO₃. (CaCO₃ → CaO + CO₂)</t>
  </si>
  <si>
    <t xml:space="preserve">Mole ratio 1:1 so 0.25 mol CO₂. Mass = 0.25 × 44 = 11.0 g</t>
  </si>
  <si>
    <t xml:space="preserve">A reaction produces 3.5 g of product when the theoretical yield is 5.0 g. The percentage yield is:
A. 50%
B. 60%
C. 70%
D. 80%</t>
  </si>
  <si>
    <t xml:space="preserve">C — (3.5/5.0) × 100 = 70%</t>
  </si>
  <si>
    <t xml:space="preserve">S1.4, Math</t>
  </si>
  <si>
    <t xml:space="preserve">Calculate the concentration of a solution when 4.0 g of NaOH (M=40) is dissolved in 500 cm³ of water.</t>
  </si>
  <si>
    <t xml:space="preserve">n = 4.0/40 = 0.10 mol; V = 500/1000 = 0.500 dm³; c = 0.10/0.500 = 0.20 mol dm⁻³</t>
  </si>
  <si>
    <t xml:space="preserve">State four factors that affect the rate of a chemical reaction.</t>
  </si>
  <si>
    <t xml:space="preserve">Temperature, concentration (or pressure for gases), surface area, presence of a catalyst.</t>
  </si>
  <si>
    <t xml:space="preserve">According to collision theory, increasing temperature increases rate because:
A. More particles
B. Particles move faster → more energetic collisions
C. Activation energy decreases
D. Products are more stable</t>
  </si>
  <si>
    <t xml:space="preserve">B — Higher T increases average KE; more particles exceed Ea threshold.</t>
  </si>
  <si>
    <t xml:space="preserve">S1.1, S1.5</t>
  </si>
  <si>
    <t xml:space="preserve">What is activation energy (Ea)? Sketch a Maxwell-Boltzmann distribution and shade the region representing particles that can react.</t>
  </si>
  <si>
    <t xml:space="preserve">Ea: minimum energy required for a successful collision. Shade the area under the curve to the right of the Ea line.</t>
  </si>
  <si>
    <t xml:space="preserve">A catalyst increases the rate of reaction by:
A. Increasing temperature
B. Increasing concentration
C. Providing an alternative pathway with lower Ea
D. Increasing the energy of products</t>
  </si>
  <si>
    <t xml:space="preserve">C — Catalysts lower the activation energy via an alternative mechanism.</t>
  </si>
  <si>
    <t xml:space="preserve">Given the balanced equation Mg + 2HCl → MgCl₂ + H₂, explain what "rate of reaction" means in measurable terms.</t>
  </si>
  <si>
    <t xml:space="preserve">Rate = change in concentration (or amount) of reactant or product per unit time. Could measure: volume of H₂ gas produced per second, or decrease in mass, or change in [HCl] over time.</t>
  </si>
  <si>
    <t xml:space="preserve">S1.4, R2.1</t>
  </si>
  <si>
    <t xml:space="preserve">A reversible reaction is one where:
A. Only forward reaction occurs
B. Products can re-form reactants
C. ΔH = 0
D. Rate = 0</t>
  </si>
  <si>
    <t xml:space="preserve">B — Products can react to re-form reactants (both directions occur).</t>
  </si>
  <si>
    <t xml:space="preserve">Define dynamic equilibrium in terms of the rates of forward and reverse reactions.</t>
  </si>
  <si>
    <t xml:space="preserve">At dynamic equilibrium, the rate of the forward reaction equals the rate of the reverse reaction. Concentrations remain constant but both reactions continue.</t>
  </si>
  <si>
    <t xml:space="preserve">R2.2-EX series</t>
  </si>
  <si>
    <t xml:space="preserve">Write the Kc expression for: N₂(g) + 3H₂(g) ⇌ 2NH₃(g)</t>
  </si>
  <si>
    <t xml:space="preserve">Kc = [NH₃]² / ([N₂][H₂]³)</t>
  </si>
  <si>
    <t xml:space="preserve">If the forward reaction is exothermic, increasing temperature will:
A. Shift equilibrium right
B. Shift equilibrium left
C. No effect
D. Increase Kc</t>
  </si>
  <si>
    <t xml:space="preserve">B — Le Chatelier's: system opposes the change; higher T favors endothermic (reverse) direction.</t>
  </si>
  <si>
    <t xml:space="preserve">R1.1, R2.2</t>
  </si>
  <si>
    <t xml:space="preserve">Calculate the concentration of a solution when 0.15 mol is dissolved in 250 cm³.</t>
  </si>
  <si>
    <t xml:space="preserve">c = n/V = 0.15/0.250 = 0.60 mol dm⁻³</t>
  </si>
  <si>
    <t xml:space="preserve">For the equilibrium PCl₅(g) ⇌ PCl₃(g) + Cl₂(g), increasing pressure will:
A. Shift right (more moles of gas)
B. Shift left (fewer moles of gas)
C. No change
D. Decrease Kc</t>
  </si>
  <si>
    <t xml:space="preserve">B — Higher P favors the side with fewer gas moles (1 mol vs 2 mol).</t>
  </si>
  <si>
    <t xml:space="preserve">An acid is a substance that:
A. Donates a proton (H⁺)
B. Accepts a proton
C. Donates an electron
D. Accepts an electron</t>
  </si>
  <si>
    <t xml:space="preserve">A — Brønsted-Lowry definition: acid = proton donor.</t>
  </si>
  <si>
    <t xml:space="preserve">Calculate the pH of a 0.01 mol dm⁻³ HCl solution. (HCl is a strong acid)</t>
  </si>
  <si>
    <t xml:space="preserve">pH = -log[H⁺] = -log(0.01) = -log(10⁻²) = 2</t>
  </si>
  <si>
    <t xml:space="preserve">Explain the difference between a strong acid and a weak acid in terms of ionization.</t>
  </si>
  <si>
    <t xml:space="preserve">Strong acid: fully ionizes/dissociates in water (e.g., HCl → H⁺ + Cl⁻). Weak acid: partially ionizes, establishing equilibrium (e.g., CH₃COOH ⇌ CH₃COO⁻ + H⁺).</t>
  </si>
  <si>
    <t xml:space="preserve">R2.3-EX series</t>
  </si>
  <si>
    <t xml:space="preserve">What is the Kw expression?
A. [H⁺][OH⁻]
B. [H⁺]/[OH⁻]
C. [OH⁻]/[H⁺]
D. [H₂O]</t>
  </si>
  <si>
    <t xml:space="preserve">A — Kw = [H⁺][OH⁻] = 1.0 × 10⁻¹⁴ at 25°C.</t>
  </si>
  <si>
    <t xml:space="preserve">If [H⁺] = 1.0 × 10⁻³ mol dm⁻³, calculate [OH⁻] and state whether the solution is acidic, basic, or neutral.</t>
  </si>
  <si>
    <t xml:space="preserve">[OH⁻] = Kw/[H⁺] = 1.0×10⁻¹⁴ / 1.0×10⁻³ = 1.0×10⁻¹¹ mol dm⁻³. Acidic ([H⁺] &gt; [OH⁻]).</t>
  </si>
  <si>
    <t xml:space="preserve">S1.4, R2.3, Math</t>
  </si>
  <si>
    <t xml:space="preserve">Conjugate acid-base pairs differ by:
A. One electron
B. One proton
C. One neutron
D. One water molecule</t>
  </si>
  <si>
    <t xml:space="preserve">B — A conjugate pair differs by exactly one proton (H⁺).</t>
  </si>
  <si>
    <t xml:space="preserve">Define oxidation and reduction in terms of electron transfer.</t>
  </si>
  <si>
    <t xml:space="preserve">Oxidation: loss of electrons. Reduction: gain of electrons. (OIL RIG)</t>
  </si>
  <si>
    <t xml:space="preserve">What is the oxidation state of Mn in KMnO₄?
A. +2
B. +4
C. +7
D. -1</t>
  </si>
  <si>
    <t xml:space="preserve">C — K=+1, O=-2(×4=-8); Mn = +1-(-8)-1 = +7.</t>
  </si>
  <si>
    <t xml:space="preserve">Balance the half-equation: Fe²⁺ → Fe³⁺</t>
  </si>
  <si>
    <t xml:space="preserve">Fe²⁺ → Fe³⁺ + e⁻ (oxidation — 1 electron lost)</t>
  </si>
  <si>
    <t xml:space="preserve">S1.3, R2.1</t>
  </si>
  <si>
    <t xml:space="preserve">In a galvanic cell, oxidation occurs at the:
A. Cathode
B. Anode
C. Salt bridge
D. Electrolyte</t>
  </si>
  <si>
    <t xml:space="preserve">B — Oxidation occurs at the anode (AN OX — anode oxidation).</t>
  </si>
  <si>
    <t xml:space="preserve">Assign oxidation states to all atoms in: Fe₂O₃ + 3CO → 2Fe + 3CO₂. Identify which species is oxidized and reduced.</t>
  </si>
  <si>
    <t xml:space="preserve">Fe: +3→0 (reduced, gains electrons). C: +2→+4 (oxidized, loses electrons). O stays -2.</t>
  </si>
  <si>
    <t xml:space="preserve">Write the electron configuration of Fe²⁺ and Fe³⁺.</t>
  </si>
  <si>
    <t xml:space="preserve">Fe²⁺: 1s²2s²2p⁶3s²3p⁶3d⁶ (lost 4s² electrons). Fe³⁺: 1s²2s²2p⁶3s²3p⁶3d⁵ (lost 4s² + one 3d).</t>
  </si>
  <si>
    <t xml:space="preserve">Draw the structural formula of chloroethane (CH₃CH₂Cl) and identify the functional group.</t>
  </si>
  <si>
    <t xml:space="preserve">H₃C-CH₂-Cl. Functional group: halogen (halogenoalkane / alkyl halide).</t>
  </si>
  <si>
    <t xml:space="preserve">S3.2 exercises</t>
  </si>
  <si>
    <t xml:space="preserve">A nucleophile is a species that:
A. Accepts an electron pair
B. Donates an electron pair
C. Donates a proton
D. Has a positive charge</t>
  </si>
  <si>
    <t xml:space="preserve">B — Nucleophile = "nucleus-loving" = electron pair donor that attacks electron-poor centers.</t>
  </si>
  <si>
    <t xml:space="preserve">Explain what a curly arrow represents in an organic mechanism.</t>
  </si>
  <si>
    <t xml:space="preserve">A curly arrow shows the movement of an electron pair — from electron-rich region to electron-poor region.</t>
  </si>
  <si>
    <t xml:space="preserve">Which of the following is the best leaving group?
A. OH⁻
B. H⁻
C. Br⁻
D. CH₃⁻</t>
  </si>
  <si>
    <t xml:space="preserve">C — Br⁻ is stable (large, polarizable, weak base) making it a good leaving group.</t>
  </si>
  <si>
    <t xml:space="preserve">Classify the carbon in CH₃CH₂Cl as primary, secondary, or tertiary, and explain your answer.</t>
  </si>
  <si>
    <t xml:space="preserve">Primary — the carbon bearing the Cl is bonded to only one other carbon (CH₃ group).</t>
  </si>
  <si>
    <t xml:space="preserve">Define homolytic fission and heterolytic fission of a covalent bond.</t>
  </si>
  <si>
    <t xml:space="preserve">Homolytic: bond breaks evenly — one electron to each atom (forms radicals). Heterolytic: bond breaks unevenly — both electrons go to one atom (forms ions).</t>
  </si>
  <si>
    <t xml:space="preserve">Draw the structure of a carbonyl group (C=O) and explain why it is polar.</t>
  </si>
  <si>
    <t xml:space="preserve">C=O has a double bond; O is more electronegative than C, so electron density is pulled toward O. C is δ+ (electrophilic), O is δ-.</t>
  </si>
  <si>
    <t xml:space="preserve">S2.2 / S3.2 exercises</t>
  </si>
  <si>
    <t xml:space="preserve">Nucleophilic addition occurs at:
A. C=C double bonds
B. C=O double bonds (carbonyls)
C. C-C single bonds
D. O-H bonds</t>
  </si>
  <si>
    <t xml:space="preserve">B — The δ+ carbon of C=O is attacked by the nucleophile.</t>
  </si>
  <si>
    <t xml:space="preserve">Name the product formed when HCN adds to ethanal (CH₃CHO).</t>
  </si>
  <si>
    <t xml:space="preserve">2-hydroxypropanenitrile (a cyanohydrin). The CN⁻ attacks the carbonyl carbon, H⁺ adds to the oxygen.</t>
  </si>
  <si>
    <t xml:space="preserve">Define condensation reaction and give the small molecule typically eliminated.</t>
  </si>
  <si>
    <t xml:space="preserve">A reaction in which two molecules join together with the elimination of a small molecule, typically water (H₂O).</t>
  </si>
  <si>
    <t xml:space="preserve">Hydrolysis is essentially the reverse of:
A. Oxidation
B. Condensation
C. Addition
D. Elimination</t>
  </si>
  <si>
    <t xml:space="preserve">B — Hydrolysis breaks a bond by adding water; condensation forms a bond by removing water.</t>
  </si>
  <si>
    <t xml:space="preserve">Draw the mechanism for nucleophilic attack of CN⁻ on a generic aldehyde R-CHO (show curly arrows).</t>
  </si>
  <si>
    <t xml:space="preserve">Step 1: Lone pair on C of CN⁻ attacks δ+ carbon of C=O (curly arrow from CN⁻ to C). π bond breaks (curly arrow from C=O bond to O). Step 2: O⁻ picks up H⁺ from HCN.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</si>
</sst>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7030A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"/>
    <col collapsed="false" customWidth="true" hidden="false" outlineLevel="0" max="3" min="3" style="1" width="36"/>
    <col collapsed="false" customWidth="true" hidden="false" outlineLevel="0" max="4" min="4" style="1" width="42"/>
    <col collapsed="false" customWidth="true" hidden="false" outlineLevel="0" max="5" min="5" style="1" width="1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52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42" hidden="false" customHeight="true" outlineLevel="0" collapsed="false">
      <c r="A2" s="3" t="s">
        <v>8</v>
      </c>
      <c r="B2" s="4" t="s">
        <v>9</v>
      </c>
      <c r="C2" s="4" t="s">
        <v>10</v>
      </c>
      <c r="D2" s="4" t="s">
        <v>11</v>
      </c>
      <c r="E2" s="3" t="s">
        <v>12</v>
      </c>
      <c r="F2" s="3" t="s">
        <v>13</v>
      </c>
      <c r="G2" s="5" t="s">
        <v>14</v>
      </c>
      <c r="H2" s="4" t="s">
        <v>15</v>
      </c>
    </row>
    <row r="3" customFormat="false" ht="42" hidden="false" customHeight="true" outlineLevel="0" collapsed="false">
      <c r="A3" s="3" t="s">
        <v>16</v>
      </c>
      <c r="B3" s="4" t="s">
        <v>17</v>
      </c>
      <c r="C3" s="4" t="s">
        <v>18</v>
      </c>
      <c r="D3" s="4" t="s">
        <v>19</v>
      </c>
      <c r="E3" s="3" t="s">
        <v>12</v>
      </c>
      <c r="F3" s="3" t="s">
        <v>20</v>
      </c>
      <c r="G3" s="5" t="s">
        <v>14</v>
      </c>
      <c r="H3" s="4" t="s">
        <v>21</v>
      </c>
    </row>
    <row r="4" customFormat="false" ht="42" hidden="false" customHeight="true" outlineLevel="0" collapsed="false">
      <c r="A4" s="3" t="s">
        <v>22</v>
      </c>
      <c r="B4" s="4" t="s">
        <v>23</v>
      </c>
      <c r="C4" s="4" t="s">
        <v>24</v>
      </c>
      <c r="D4" s="4" t="s">
        <v>25</v>
      </c>
      <c r="E4" s="3" t="s">
        <v>12</v>
      </c>
      <c r="F4" s="3" t="s">
        <v>26</v>
      </c>
      <c r="G4" s="5" t="s">
        <v>14</v>
      </c>
      <c r="H4" s="4" t="s">
        <v>27</v>
      </c>
    </row>
    <row r="5" customFormat="false" ht="42" hidden="false" customHeight="true" outlineLevel="0" collapsed="false">
      <c r="A5" s="3" t="s">
        <v>28</v>
      </c>
      <c r="B5" s="4" t="s">
        <v>29</v>
      </c>
      <c r="C5" s="4" t="s">
        <v>30</v>
      </c>
      <c r="D5" s="4" t="s">
        <v>31</v>
      </c>
      <c r="E5" s="3" t="s">
        <v>12</v>
      </c>
      <c r="F5" s="3" t="s">
        <v>32</v>
      </c>
      <c r="G5" s="5" t="s">
        <v>14</v>
      </c>
      <c r="H5" s="4" t="s">
        <v>33</v>
      </c>
    </row>
    <row r="6" customFormat="false" ht="42" hidden="false" customHeight="true" outlineLevel="0" collapsed="false">
      <c r="A6" s="3" t="s">
        <v>28</v>
      </c>
      <c r="B6" s="4"/>
      <c r="C6" s="4" t="s">
        <v>34</v>
      </c>
      <c r="D6" s="4"/>
      <c r="E6" s="3" t="s">
        <v>12</v>
      </c>
      <c r="F6" s="3" t="s">
        <v>35</v>
      </c>
      <c r="G6" s="6" t="s">
        <v>36</v>
      </c>
      <c r="H6" s="4" t="s">
        <v>37</v>
      </c>
    </row>
    <row r="7" customFormat="false" ht="42" hidden="false" customHeight="true" outlineLevel="0" collapsed="false">
      <c r="A7" s="3" t="s">
        <v>38</v>
      </c>
      <c r="B7" s="4" t="s">
        <v>39</v>
      </c>
      <c r="C7" s="4" t="s">
        <v>40</v>
      </c>
      <c r="D7" s="4" t="s">
        <v>41</v>
      </c>
      <c r="E7" s="3" t="s">
        <v>12</v>
      </c>
      <c r="F7" s="3" t="s">
        <v>13</v>
      </c>
      <c r="G7" s="5" t="s">
        <v>14</v>
      </c>
      <c r="H7" s="4" t="s">
        <v>42</v>
      </c>
    </row>
    <row r="8" customFormat="false" ht="42" hidden="false" customHeight="true" outlineLevel="0" collapsed="false">
      <c r="A8" s="3" t="s">
        <v>38</v>
      </c>
      <c r="B8" s="4"/>
      <c r="C8" s="4" t="s">
        <v>43</v>
      </c>
      <c r="D8" s="4" t="s">
        <v>44</v>
      </c>
      <c r="E8" s="3" t="s">
        <v>12</v>
      </c>
      <c r="F8" s="3" t="s">
        <v>35</v>
      </c>
      <c r="G8" s="5" t="s">
        <v>14</v>
      </c>
      <c r="H8" s="4" t="s">
        <v>45</v>
      </c>
    </row>
    <row r="9" customFormat="false" ht="42" hidden="false" customHeight="true" outlineLevel="0" collapsed="false">
      <c r="A9" s="3" t="s">
        <v>46</v>
      </c>
      <c r="B9" s="4" t="s">
        <v>47</v>
      </c>
      <c r="C9" s="4" t="s">
        <v>48</v>
      </c>
      <c r="D9" s="4" t="s">
        <v>49</v>
      </c>
      <c r="E9" s="3" t="s">
        <v>12</v>
      </c>
      <c r="F9" s="3" t="s">
        <v>13</v>
      </c>
      <c r="G9" s="5" t="s">
        <v>14</v>
      </c>
      <c r="H9" s="4" t="s">
        <v>50</v>
      </c>
    </row>
    <row r="10" customFormat="false" ht="42" hidden="false" customHeight="true" outlineLevel="0" collapsed="false">
      <c r="A10" s="3" t="s">
        <v>51</v>
      </c>
      <c r="B10" s="4" t="s">
        <v>52</v>
      </c>
      <c r="C10" s="4" t="s">
        <v>53</v>
      </c>
      <c r="D10" s="4" t="s">
        <v>54</v>
      </c>
      <c r="E10" s="3" t="s">
        <v>12</v>
      </c>
      <c r="F10" s="3" t="s">
        <v>26</v>
      </c>
      <c r="G10" s="5" t="s">
        <v>14</v>
      </c>
      <c r="H10" s="4" t="s">
        <v>55</v>
      </c>
    </row>
    <row r="11" customFormat="false" ht="42" hidden="false" customHeight="true" outlineLevel="0" collapsed="false">
      <c r="A11" s="3" t="s">
        <v>51</v>
      </c>
      <c r="B11" s="4"/>
      <c r="C11" s="4" t="s">
        <v>56</v>
      </c>
      <c r="D11" s="4" t="s">
        <v>57</v>
      </c>
      <c r="E11" s="3" t="s">
        <v>12</v>
      </c>
      <c r="F11" s="3" t="s">
        <v>13</v>
      </c>
      <c r="G11" s="5" t="s">
        <v>14</v>
      </c>
      <c r="H11" s="4" t="s">
        <v>58</v>
      </c>
    </row>
    <row r="12" customFormat="false" ht="42" hidden="false" customHeight="true" outlineLevel="0" collapsed="false">
      <c r="A12" s="3" t="s">
        <v>59</v>
      </c>
      <c r="B12" s="4" t="s">
        <v>60</v>
      </c>
      <c r="C12" s="4" t="s">
        <v>61</v>
      </c>
      <c r="D12" s="4" t="s">
        <v>62</v>
      </c>
      <c r="E12" s="3" t="s">
        <v>12</v>
      </c>
      <c r="F12" s="3" t="s">
        <v>13</v>
      </c>
      <c r="G12" s="5" t="s">
        <v>14</v>
      </c>
      <c r="H12" s="4" t="s">
        <v>63</v>
      </c>
    </row>
    <row r="13" customFormat="false" ht="42" hidden="false" customHeight="true" outlineLevel="0" collapsed="false">
      <c r="A13" s="3" t="s">
        <v>64</v>
      </c>
      <c r="B13" s="4" t="s">
        <v>65</v>
      </c>
      <c r="C13" s="4" t="s">
        <v>66</v>
      </c>
      <c r="D13" s="4" t="s">
        <v>67</v>
      </c>
      <c r="E13" s="3" t="s">
        <v>12</v>
      </c>
      <c r="F13" s="3" t="s">
        <v>20</v>
      </c>
      <c r="G13" s="5" t="s">
        <v>14</v>
      </c>
      <c r="H13" s="4" t="s">
        <v>68</v>
      </c>
    </row>
    <row r="14" customFormat="false" ht="42" hidden="false" customHeight="true" outlineLevel="0" collapsed="false">
      <c r="A14" s="3" t="s">
        <v>64</v>
      </c>
      <c r="B14" s="4"/>
      <c r="C14" s="4" t="s">
        <v>69</v>
      </c>
      <c r="D14" s="4"/>
      <c r="E14" s="3" t="s">
        <v>12</v>
      </c>
      <c r="F14" s="3" t="s">
        <v>35</v>
      </c>
      <c r="G14" s="6" t="s">
        <v>36</v>
      </c>
      <c r="H14" s="4" t="s">
        <v>70</v>
      </c>
    </row>
    <row r="15" customFormat="false" ht="42" hidden="false" customHeight="true" outlineLevel="0" collapsed="false">
      <c r="A15" s="3" t="s">
        <v>71</v>
      </c>
      <c r="B15" s="4" t="s">
        <v>72</v>
      </c>
      <c r="C15" s="4" t="s">
        <v>73</v>
      </c>
      <c r="D15" s="4" t="s">
        <v>74</v>
      </c>
      <c r="E15" s="3" t="s">
        <v>12</v>
      </c>
      <c r="F15" s="3" t="s">
        <v>26</v>
      </c>
      <c r="G15" s="5" t="s">
        <v>14</v>
      </c>
      <c r="H15" s="4" t="s">
        <v>75</v>
      </c>
    </row>
    <row r="16" customFormat="false" ht="42" hidden="false" customHeight="true" outlineLevel="0" collapsed="false">
      <c r="A16" s="3" t="s">
        <v>71</v>
      </c>
      <c r="B16" s="4"/>
      <c r="C16" s="4" t="s">
        <v>76</v>
      </c>
      <c r="D16" s="4" t="s">
        <v>77</v>
      </c>
      <c r="E16" s="3" t="s">
        <v>12</v>
      </c>
      <c r="F16" s="3" t="s">
        <v>35</v>
      </c>
      <c r="G16" s="5" t="s">
        <v>14</v>
      </c>
      <c r="H16" s="4" t="s">
        <v>78</v>
      </c>
    </row>
    <row r="17" customFormat="false" ht="42" hidden="false" customHeight="true" outlineLevel="0" collapsed="false">
      <c r="A17" s="3" t="s">
        <v>79</v>
      </c>
      <c r="B17" s="4" t="s">
        <v>80</v>
      </c>
      <c r="C17" s="4" t="s">
        <v>81</v>
      </c>
      <c r="D17" s="4" t="s">
        <v>82</v>
      </c>
      <c r="E17" s="3" t="s">
        <v>12</v>
      </c>
      <c r="F17" s="3" t="s">
        <v>20</v>
      </c>
      <c r="G17" s="5" t="s">
        <v>14</v>
      </c>
      <c r="H17" s="4" t="s">
        <v>83</v>
      </c>
    </row>
    <row r="18" customFormat="false" ht="42" hidden="false" customHeight="true" outlineLevel="0" collapsed="false">
      <c r="A18" s="3" t="s">
        <v>79</v>
      </c>
      <c r="B18" s="4"/>
      <c r="C18" s="4" t="s">
        <v>84</v>
      </c>
      <c r="D18" s="4" t="s">
        <v>85</v>
      </c>
      <c r="E18" s="3" t="s">
        <v>12</v>
      </c>
      <c r="F18" s="3" t="s">
        <v>20</v>
      </c>
      <c r="G18" s="5" t="s">
        <v>14</v>
      </c>
      <c r="H18" s="4" t="s">
        <v>86</v>
      </c>
    </row>
    <row r="19" customFormat="false" ht="42" hidden="false" customHeight="true" outlineLevel="0" collapsed="false">
      <c r="A19" s="3" t="s">
        <v>87</v>
      </c>
      <c r="B19" s="4" t="s">
        <v>88</v>
      </c>
      <c r="C19" s="4" t="s">
        <v>89</v>
      </c>
      <c r="D19" s="4" t="s">
        <v>90</v>
      </c>
      <c r="E19" s="3" t="s">
        <v>12</v>
      </c>
      <c r="F19" s="3" t="s">
        <v>32</v>
      </c>
      <c r="G19" s="5" t="s">
        <v>14</v>
      </c>
      <c r="H19" s="4" t="s">
        <v>91</v>
      </c>
    </row>
    <row r="20" customFormat="false" ht="42" hidden="false" customHeight="true" outlineLevel="0" collapsed="false">
      <c r="A20" s="3" t="s">
        <v>87</v>
      </c>
      <c r="B20" s="4"/>
      <c r="C20" s="4" t="s">
        <v>92</v>
      </c>
      <c r="D20" s="4" t="s">
        <v>93</v>
      </c>
      <c r="E20" s="3" t="s">
        <v>12</v>
      </c>
      <c r="F20" s="3" t="s">
        <v>35</v>
      </c>
      <c r="G20" s="5" t="s">
        <v>14</v>
      </c>
      <c r="H20" s="4" t="s">
        <v>94</v>
      </c>
    </row>
    <row r="21" customFormat="false" ht="42" hidden="false" customHeight="true" outlineLevel="0" collapsed="false">
      <c r="A21" s="3" t="s">
        <v>95</v>
      </c>
      <c r="B21" s="4" t="s">
        <v>96</v>
      </c>
      <c r="C21" s="4" t="s">
        <v>97</v>
      </c>
      <c r="D21" s="4" t="s">
        <v>98</v>
      </c>
      <c r="E21" s="3" t="s">
        <v>12</v>
      </c>
      <c r="F21" s="3" t="s">
        <v>32</v>
      </c>
      <c r="G21" s="5" t="s">
        <v>14</v>
      </c>
      <c r="H21" s="4" t="s">
        <v>99</v>
      </c>
    </row>
    <row r="22" customFormat="false" ht="42" hidden="false" customHeight="true" outlineLevel="0" collapsed="false">
      <c r="A22" s="3" t="s">
        <v>95</v>
      </c>
      <c r="B22" s="4"/>
      <c r="C22" s="4" t="s">
        <v>100</v>
      </c>
      <c r="D22" s="4" t="s">
        <v>101</v>
      </c>
      <c r="E22" s="7" t="s">
        <v>102</v>
      </c>
      <c r="F22" s="3" t="s">
        <v>32</v>
      </c>
      <c r="G22" s="5" t="s">
        <v>14</v>
      </c>
      <c r="H22" s="4" t="s">
        <v>103</v>
      </c>
    </row>
    <row r="23" customFormat="false" ht="42" hidden="false" customHeight="true" outlineLevel="0" collapsed="false">
      <c r="A23" s="3" t="s">
        <v>104</v>
      </c>
      <c r="B23" s="4" t="s">
        <v>105</v>
      </c>
      <c r="C23" s="4" t="s">
        <v>106</v>
      </c>
      <c r="D23" s="4" t="s">
        <v>107</v>
      </c>
      <c r="E23" s="3" t="s">
        <v>12</v>
      </c>
      <c r="F23" s="3" t="s">
        <v>108</v>
      </c>
      <c r="G23" s="5" t="s">
        <v>14</v>
      </c>
      <c r="H23" s="4" t="s">
        <v>109</v>
      </c>
    </row>
    <row r="24" customFormat="false" ht="42" hidden="false" customHeight="true" outlineLevel="0" collapsed="false">
      <c r="A24" s="3" t="s">
        <v>110</v>
      </c>
      <c r="B24" s="4" t="s">
        <v>111</v>
      </c>
      <c r="C24" s="4" t="s">
        <v>112</v>
      </c>
      <c r="D24" s="4" t="s">
        <v>113</v>
      </c>
      <c r="E24" s="7" t="s">
        <v>102</v>
      </c>
      <c r="F24" s="3" t="s">
        <v>114</v>
      </c>
      <c r="G24" s="5" t="s">
        <v>14</v>
      </c>
      <c r="H24" s="4" t="s">
        <v>115</v>
      </c>
    </row>
    <row r="25" customFormat="false" ht="42" hidden="false" customHeight="true" outlineLevel="0" collapsed="false">
      <c r="A25" s="3" t="s">
        <v>116</v>
      </c>
      <c r="B25" s="4" t="s">
        <v>117</v>
      </c>
      <c r="C25" s="4" t="s">
        <v>118</v>
      </c>
      <c r="D25" s="4" t="s">
        <v>119</v>
      </c>
      <c r="E25" s="3" t="s">
        <v>12</v>
      </c>
      <c r="F25" s="3" t="s">
        <v>35</v>
      </c>
      <c r="G25" s="5" t="s">
        <v>14</v>
      </c>
      <c r="H25" s="4" t="s">
        <v>120</v>
      </c>
    </row>
    <row r="26" customFormat="false" ht="42" hidden="false" customHeight="true" outlineLevel="0" collapsed="false">
      <c r="A26" s="3" t="s">
        <v>116</v>
      </c>
      <c r="B26" s="4"/>
      <c r="C26" s="4" t="s">
        <v>121</v>
      </c>
      <c r="D26" s="4" t="s">
        <v>122</v>
      </c>
      <c r="E26" s="3" t="s">
        <v>12</v>
      </c>
      <c r="F26" s="3" t="s">
        <v>35</v>
      </c>
      <c r="G26" s="5" t="s">
        <v>14</v>
      </c>
      <c r="H26" s="4" t="s">
        <v>123</v>
      </c>
    </row>
    <row r="27" customFormat="false" ht="42" hidden="false" customHeight="true" outlineLevel="0" collapsed="false">
      <c r="A27" s="3" t="s">
        <v>124</v>
      </c>
      <c r="B27" s="4" t="s">
        <v>125</v>
      </c>
      <c r="C27" s="4" t="s">
        <v>126</v>
      </c>
      <c r="D27" s="4" t="s">
        <v>127</v>
      </c>
      <c r="E27" s="3" t="s">
        <v>12</v>
      </c>
      <c r="F27" s="3" t="s">
        <v>13</v>
      </c>
      <c r="G27" s="5" t="s">
        <v>14</v>
      </c>
      <c r="H27" s="4" t="s">
        <v>128</v>
      </c>
    </row>
    <row r="28" customFormat="false" ht="42" hidden="false" customHeight="true" outlineLevel="0" collapsed="false">
      <c r="A28" s="3" t="s">
        <v>124</v>
      </c>
      <c r="B28" s="4"/>
      <c r="C28" s="4" t="s">
        <v>129</v>
      </c>
      <c r="D28" s="4" t="s">
        <v>130</v>
      </c>
      <c r="E28" s="3" t="s">
        <v>12</v>
      </c>
      <c r="F28" s="3" t="s">
        <v>32</v>
      </c>
      <c r="G28" s="5" t="s">
        <v>14</v>
      </c>
      <c r="H28" s="4" t="s">
        <v>131</v>
      </c>
    </row>
    <row r="29" customFormat="false" ht="42" hidden="false" customHeight="true" outlineLevel="0" collapsed="false">
      <c r="A29" s="3" t="s">
        <v>132</v>
      </c>
      <c r="B29" s="4" t="s">
        <v>133</v>
      </c>
      <c r="C29" s="4" t="s">
        <v>134</v>
      </c>
      <c r="D29" s="4" t="s">
        <v>135</v>
      </c>
      <c r="E29" s="3" t="s">
        <v>12</v>
      </c>
      <c r="F29" s="3" t="s">
        <v>13</v>
      </c>
      <c r="G29" s="5" t="s">
        <v>14</v>
      </c>
      <c r="H29" s="4" t="s">
        <v>136</v>
      </c>
    </row>
    <row r="30" customFormat="false" ht="42" hidden="false" customHeight="true" outlineLevel="0" collapsed="false">
      <c r="A30" s="3" t="s">
        <v>137</v>
      </c>
      <c r="B30" s="4" t="s">
        <v>138</v>
      </c>
      <c r="C30" s="4" t="s">
        <v>139</v>
      </c>
      <c r="D30" s="4" t="s">
        <v>140</v>
      </c>
      <c r="E30" s="3" t="s">
        <v>12</v>
      </c>
      <c r="F30" s="3" t="s">
        <v>141</v>
      </c>
      <c r="G30" s="5" t="s">
        <v>14</v>
      </c>
      <c r="H30" s="4" t="s">
        <v>142</v>
      </c>
    </row>
    <row r="31" customFormat="false" ht="42" hidden="false" customHeight="true" outlineLevel="0" collapsed="false">
      <c r="A31" s="3" t="s">
        <v>143</v>
      </c>
      <c r="B31" s="4" t="s">
        <v>144</v>
      </c>
      <c r="C31" s="4" t="s">
        <v>145</v>
      </c>
      <c r="D31" s="4" t="s">
        <v>146</v>
      </c>
      <c r="E31" s="3" t="s">
        <v>12</v>
      </c>
      <c r="F31" s="3" t="s">
        <v>141</v>
      </c>
      <c r="G31" s="5" t="s">
        <v>14</v>
      </c>
      <c r="H31" s="4" t="s">
        <v>147</v>
      </c>
    </row>
    <row r="32" customFormat="false" ht="42" hidden="false" customHeight="true" outlineLevel="0" collapsed="false">
      <c r="A32" s="3" t="s">
        <v>143</v>
      </c>
      <c r="B32" s="4"/>
      <c r="C32" s="4" t="s">
        <v>148</v>
      </c>
      <c r="D32" s="4" t="s">
        <v>149</v>
      </c>
      <c r="E32" s="3" t="s">
        <v>12</v>
      </c>
      <c r="F32" s="3" t="s">
        <v>13</v>
      </c>
      <c r="G32" s="5" t="s">
        <v>14</v>
      </c>
      <c r="H32" s="4" t="s">
        <v>150</v>
      </c>
    </row>
    <row r="33" customFormat="false" ht="42" hidden="false" customHeight="true" outlineLevel="0" collapsed="false">
      <c r="A33" s="3" t="s">
        <v>151</v>
      </c>
      <c r="B33" s="4" t="s">
        <v>152</v>
      </c>
      <c r="C33" s="4" t="s">
        <v>153</v>
      </c>
      <c r="D33" s="4" t="s">
        <v>154</v>
      </c>
      <c r="E33" s="3" t="s">
        <v>12</v>
      </c>
      <c r="F33" s="3" t="s">
        <v>13</v>
      </c>
      <c r="G33" s="5" t="s">
        <v>14</v>
      </c>
      <c r="H33" s="4" t="s">
        <v>155</v>
      </c>
    </row>
    <row r="34" customFormat="false" ht="42" hidden="false" customHeight="true" outlineLevel="0" collapsed="false">
      <c r="A34" s="3" t="s">
        <v>156</v>
      </c>
      <c r="B34" s="4" t="s">
        <v>157</v>
      </c>
      <c r="C34" s="4" t="s">
        <v>158</v>
      </c>
      <c r="D34" s="4" t="s">
        <v>159</v>
      </c>
      <c r="E34" s="7" t="s">
        <v>102</v>
      </c>
      <c r="F34" s="3" t="s">
        <v>13</v>
      </c>
      <c r="G34" s="5" t="s">
        <v>14</v>
      </c>
      <c r="H34" s="4" t="s">
        <v>160</v>
      </c>
    </row>
    <row r="35" customFormat="false" ht="42" hidden="false" customHeight="true" outlineLevel="0" collapsed="false">
      <c r="A35" s="3" t="s">
        <v>161</v>
      </c>
      <c r="B35" s="4" t="s">
        <v>162</v>
      </c>
      <c r="C35" s="4" t="s">
        <v>163</v>
      </c>
      <c r="D35" s="4" t="s">
        <v>164</v>
      </c>
      <c r="E35" s="3" t="s">
        <v>12</v>
      </c>
      <c r="F35" s="3" t="s">
        <v>32</v>
      </c>
      <c r="G35" s="5" t="s">
        <v>14</v>
      </c>
      <c r="H35" s="4" t="s">
        <v>165</v>
      </c>
    </row>
    <row r="36" customFormat="false" ht="42" hidden="false" customHeight="true" outlineLevel="0" collapsed="false">
      <c r="A36" s="3" t="s">
        <v>161</v>
      </c>
      <c r="B36" s="4"/>
      <c r="C36" s="4" t="s">
        <v>166</v>
      </c>
      <c r="D36" s="4" t="s">
        <v>167</v>
      </c>
      <c r="E36" s="3" t="s">
        <v>12</v>
      </c>
      <c r="F36" s="3" t="s">
        <v>32</v>
      </c>
      <c r="G36" s="5" t="s">
        <v>14</v>
      </c>
      <c r="H36" s="4" t="s">
        <v>168</v>
      </c>
    </row>
    <row r="37" customFormat="false" ht="42" hidden="false" customHeight="true" outlineLevel="0" collapsed="false">
      <c r="A37" s="3" t="s">
        <v>161</v>
      </c>
      <c r="B37" s="4"/>
      <c r="C37" s="4" t="s">
        <v>169</v>
      </c>
      <c r="D37" s="4" t="s">
        <v>170</v>
      </c>
      <c r="E37" s="3" t="s">
        <v>12</v>
      </c>
      <c r="F37" s="3" t="s">
        <v>32</v>
      </c>
      <c r="G37" s="5" t="s">
        <v>14</v>
      </c>
      <c r="H37" s="4" t="s">
        <v>171</v>
      </c>
    </row>
    <row r="38" customFormat="false" ht="42" hidden="false" customHeight="true" outlineLevel="0" collapsed="false">
      <c r="A38" s="3" t="s">
        <v>172</v>
      </c>
      <c r="B38" s="4" t="s">
        <v>173</v>
      </c>
      <c r="C38" s="4" t="s">
        <v>174</v>
      </c>
      <c r="D38" s="4" t="s">
        <v>175</v>
      </c>
      <c r="E38" s="3" t="s">
        <v>12</v>
      </c>
      <c r="F38" s="3" t="s">
        <v>172</v>
      </c>
      <c r="G38" s="5" t="s">
        <v>14</v>
      </c>
      <c r="H38" s="4" t="s">
        <v>176</v>
      </c>
    </row>
  </sheetData>
  <autoFilter ref="A1:H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2"/>
  </cols>
  <sheetData>
    <row r="1" customFormat="false" ht="15" hidden="false" customHeight="true" outlineLevel="0" collapsed="false">
      <c r="A1" s="8" t="s">
        <v>177</v>
      </c>
      <c r="B1" s="8" t="s">
        <v>178</v>
      </c>
    </row>
    <row r="2" customFormat="false" ht="15" hidden="false" customHeight="true" outlineLevel="0" collapsed="false">
      <c r="A2" s="9" t="s">
        <v>179</v>
      </c>
      <c r="B2" s="10" t="n">
        <f aca="false">COUNTA('Simulation Tracker'!C2:C38)</f>
        <v>37</v>
      </c>
    </row>
    <row r="3" customFormat="false" ht="15" hidden="false" customHeight="true" outlineLevel="0" collapsed="false">
      <c r="A3" s="9" t="s">
        <v>14</v>
      </c>
      <c r="B3" s="10" t="n">
        <f aca="false">COUNTIF('Simulation Tracker'!G2:G38,"Complete")</f>
        <v>35</v>
      </c>
    </row>
    <row r="4" customFormat="false" ht="15" hidden="false" customHeight="true" outlineLevel="0" collapsed="false">
      <c r="A4" s="9" t="s">
        <v>180</v>
      </c>
      <c r="B4" s="10" t="n">
        <f aca="false">COUNTIF('Simulation Tracker'!G2:G38,"Gap")</f>
        <v>2</v>
      </c>
    </row>
    <row r="5" customFormat="false" ht="15" hidden="false" customHeight="true" outlineLevel="0" collapsed="false">
      <c r="A5" s="9" t="s">
        <v>181</v>
      </c>
      <c r="B5" s="10" t="n">
        <f aca="false">COUNTIF('Simulation Tracker'!G2:G38,"Planned")</f>
        <v>0</v>
      </c>
    </row>
    <row r="6" customFormat="false" ht="15" hidden="false" customHeight="true" outlineLevel="0" collapsed="false">
      <c r="A6" s="9" t="s">
        <v>182</v>
      </c>
      <c r="B6" s="10" t="n">
        <f aca="false">COUNTIF('Simulation Tracker'!E2:E38,"Both")</f>
        <v>34</v>
      </c>
    </row>
    <row r="7" customFormat="false" ht="15" hidden="false" customHeight="true" outlineLevel="0" collapsed="false">
      <c r="A7" s="9" t="s">
        <v>183</v>
      </c>
      <c r="B7" s="10" t="n">
        <f aca="false">COUNTIF('Simulation Tracker'!E2:E38,"HL")</f>
        <v>3</v>
      </c>
    </row>
    <row r="8" customFormat="false" ht="15" hidden="false" customHeight="true" outlineLevel="0" collapsed="false">
      <c r="A8" s="9" t="s">
        <v>184</v>
      </c>
      <c r="B8" s="10" t="n">
        <f aca="false">SUMPRODUCT(1/COUNTIF('Simulation Tracker'!A2:A38,'Simulation Tracker'!A2:A38))</f>
        <v>24</v>
      </c>
    </row>
    <row r="10" customFormat="false" ht="15" hidden="false" customHeight="false" outlineLevel="0" collapsed="false">
      <c r="A10" s="11" t="s">
        <v>185</v>
      </c>
      <c r="B10" s="12"/>
    </row>
    <row r="11" customFormat="false" ht="15" hidden="false" customHeight="false" outlineLevel="0" collapsed="false">
      <c r="A11" s="13" t="s">
        <v>186</v>
      </c>
      <c r="B11" s="10" t="n">
        <f aca="false">COUNTA('Pre-Assessment Checks'!A2:A126)</f>
        <v>125</v>
      </c>
    </row>
    <row r="12" customFormat="false" ht="15" hidden="false" customHeight="false" outlineLevel="0" collapsed="false">
      <c r="A12" s="13" t="s">
        <v>187</v>
      </c>
      <c r="B12" s="10" t="n">
        <f aca="false">COUNTIF('Pre-Assessment Checks'!C2:C126,"MC")</f>
        <v>56</v>
      </c>
    </row>
    <row r="13" customFormat="false" ht="15" hidden="false" customHeight="false" outlineLevel="0" collapsed="false">
      <c r="A13" s="13" t="s">
        <v>188</v>
      </c>
      <c r="B13" s="10" t="n">
        <f aca="false">COUNTIF('Pre-Assessment Checks'!C2:C126,"SA")</f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26.85" hidden="false" customHeight="false" outlineLevel="0" collapsed="false">
      <c r="A1" s="14" t="s">
        <v>0</v>
      </c>
      <c r="B1" s="14" t="s">
        <v>1</v>
      </c>
      <c r="C1" s="14" t="s">
        <v>189</v>
      </c>
      <c r="D1" s="14" t="s">
        <v>190</v>
      </c>
      <c r="E1" s="14" t="s">
        <v>191</v>
      </c>
    </row>
    <row r="2" customFormat="false" ht="49.5" hidden="false" customHeight="true" outlineLevel="0" collapsed="false">
      <c r="A2" s="4" t="s">
        <v>8</v>
      </c>
      <c r="B2" s="4" t="s">
        <v>192</v>
      </c>
      <c r="C2" s="3" t="s">
        <v>193</v>
      </c>
      <c r="D2" s="4" t="s">
        <v>194</v>
      </c>
      <c r="E2" s="4" t="s">
        <v>195</v>
      </c>
    </row>
    <row r="3" customFormat="false" ht="49.5" hidden="false" customHeight="true" outlineLevel="0" collapsed="false">
      <c r="A3" s="4" t="s">
        <v>16</v>
      </c>
      <c r="B3" s="4" t="s">
        <v>17</v>
      </c>
      <c r="C3" s="3" t="s">
        <v>8</v>
      </c>
      <c r="D3" s="4" t="s">
        <v>196</v>
      </c>
      <c r="E3" s="4" t="s">
        <v>197</v>
      </c>
    </row>
    <row r="4" customFormat="false" ht="49.5" hidden="false" customHeight="true" outlineLevel="0" collapsed="false">
      <c r="A4" s="4" t="s">
        <v>22</v>
      </c>
      <c r="B4" s="4" t="s">
        <v>23</v>
      </c>
      <c r="C4" s="3" t="s">
        <v>16</v>
      </c>
      <c r="D4" s="4" t="s">
        <v>198</v>
      </c>
      <c r="E4" s="4" t="s">
        <v>199</v>
      </c>
    </row>
    <row r="5" customFormat="false" ht="49.5" hidden="false" customHeight="true" outlineLevel="0" collapsed="false">
      <c r="A5" s="4" t="s">
        <v>28</v>
      </c>
      <c r="B5" s="4" t="s">
        <v>200</v>
      </c>
      <c r="C5" s="3" t="s">
        <v>201</v>
      </c>
      <c r="D5" s="4" t="s">
        <v>202</v>
      </c>
      <c r="E5" s="4" t="s">
        <v>203</v>
      </c>
    </row>
    <row r="6" customFormat="false" ht="49.5" hidden="false" customHeight="true" outlineLevel="0" collapsed="false">
      <c r="A6" s="4" t="s">
        <v>38</v>
      </c>
      <c r="B6" s="4" t="s">
        <v>39</v>
      </c>
      <c r="C6" s="3" t="s">
        <v>204</v>
      </c>
      <c r="D6" s="4" t="s">
        <v>205</v>
      </c>
      <c r="E6" s="4" t="s">
        <v>206</v>
      </c>
    </row>
    <row r="7" customFormat="false" ht="49.5" hidden="false" customHeight="true" outlineLevel="0" collapsed="false">
      <c r="A7" s="4" t="s">
        <v>46</v>
      </c>
      <c r="B7" s="4" t="s">
        <v>47</v>
      </c>
      <c r="C7" s="3" t="s">
        <v>207</v>
      </c>
      <c r="D7" s="4" t="s">
        <v>208</v>
      </c>
      <c r="E7" s="4" t="s">
        <v>209</v>
      </c>
    </row>
    <row r="8" customFormat="false" ht="49.5" hidden="false" customHeight="true" outlineLevel="0" collapsed="false">
      <c r="A8" s="4" t="s">
        <v>51</v>
      </c>
      <c r="B8" s="4" t="s">
        <v>52</v>
      </c>
      <c r="C8" s="3" t="s">
        <v>210</v>
      </c>
      <c r="D8" s="4" t="s">
        <v>211</v>
      </c>
      <c r="E8" s="4" t="s">
        <v>212</v>
      </c>
    </row>
    <row r="9" customFormat="false" ht="49.5" hidden="false" customHeight="true" outlineLevel="0" collapsed="false">
      <c r="A9" s="4" t="s">
        <v>59</v>
      </c>
      <c r="B9" s="4" t="s">
        <v>60</v>
      </c>
      <c r="C9" s="3" t="s">
        <v>210</v>
      </c>
      <c r="D9" s="4" t="s">
        <v>213</v>
      </c>
      <c r="E9" s="4" t="s">
        <v>212</v>
      </c>
    </row>
    <row r="10" customFormat="false" ht="49.5" hidden="false" customHeight="true" outlineLevel="0" collapsed="false">
      <c r="A10" s="4" t="s">
        <v>64</v>
      </c>
      <c r="B10" s="4" t="s">
        <v>65</v>
      </c>
      <c r="C10" s="3" t="s">
        <v>214</v>
      </c>
      <c r="D10" s="4" t="s">
        <v>215</v>
      </c>
      <c r="E10" s="4" t="s">
        <v>216</v>
      </c>
    </row>
    <row r="11" customFormat="false" ht="49.5" hidden="false" customHeight="true" outlineLevel="0" collapsed="false">
      <c r="A11" s="4" t="s">
        <v>71</v>
      </c>
      <c r="B11" s="4" t="s">
        <v>217</v>
      </c>
      <c r="C11" s="3" t="s">
        <v>207</v>
      </c>
      <c r="D11" s="4" t="s">
        <v>218</v>
      </c>
      <c r="E11" s="4" t="s">
        <v>209</v>
      </c>
    </row>
    <row r="12" customFormat="false" ht="49.5" hidden="false" customHeight="true" outlineLevel="0" collapsed="false">
      <c r="A12" s="4" t="s">
        <v>79</v>
      </c>
      <c r="B12" s="4" t="s">
        <v>219</v>
      </c>
      <c r="C12" s="3" t="s">
        <v>220</v>
      </c>
      <c r="D12" s="4" t="s">
        <v>221</v>
      </c>
      <c r="E12" s="4" t="s">
        <v>222</v>
      </c>
    </row>
    <row r="13" customFormat="false" ht="49.5" hidden="false" customHeight="true" outlineLevel="0" collapsed="false">
      <c r="A13" s="4" t="s">
        <v>87</v>
      </c>
      <c r="B13" s="4" t="s">
        <v>88</v>
      </c>
      <c r="C13" s="3" t="s">
        <v>223</v>
      </c>
      <c r="D13" s="4" t="s">
        <v>224</v>
      </c>
      <c r="E13" s="4" t="s">
        <v>225</v>
      </c>
    </row>
    <row r="14" customFormat="false" ht="49.5" hidden="false" customHeight="true" outlineLevel="0" collapsed="false">
      <c r="A14" s="4" t="s">
        <v>95</v>
      </c>
      <c r="B14" s="4" t="s">
        <v>226</v>
      </c>
      <c r="C14" s="3" t="s">
        <v>227</v>
      </c>
      <c r="D14" s="4" t="s">
        <v>228</v>
      </c>
      <c r="E14" s="4" t="s">
        <v>229</v>
      </c>
    </row>
    <row r="15" customFormat="false" ht="49.5" hidden="false" customHeight="true" outlineLevel="0" collapsed="false">
      <c r="A15" s="4" t="s">
        <v>104</v>
      </c>
      <c r="B15" s="4" t="s">
        <v>105</v>
      </c>
      <c r="C15" s="3" t="s">
        <v>230</v>
      </c>
      <c r="D15" s="4" t="s">
        <v>231</v>
      </c>
      <c r="E15" s="4" t="s">
        <v>232</v>
      </c>
    </row>
    <row r="16" customFormat="false" ht="49.5" hidden="false" customHeight="true" outlineLevel="0" collapsed="false">
      <c r="A16" s="4" t="s">
        <v>110</v>
      </c>
      <c r="B16" s="4" t="s">
        <v>233</v>
      </c>
      <c r="C16" s="3" t="s">
        <v>234</v>
      </c>
      <c r="D16" s="4" t="s">
        <v>235</v>
      </c>
      <c r="E16" s="4" t="s">
        <v>236</v>
      </c>
    </row>
    <row r="17" customFormat="false" ht="49.5" hidden="false" customHeight="true" outlineLevel="0" collapsed="false">
      <c r="A17" s="4" t="s">
        <v>116</v>
      </c>
      <c r="B17" s="4" t="s">
        <v>237</v>
      </c>
      <c r="C17" s="3" t="s">
        <v>238</v>
      </c>
      <c r="D17" s="4" t="s">
        <v>239</v>
      </c>
      <c r="E17" s="4" t="s">
        <v>240</v>
      </c>
    </row>
    <row r="18" customFormat="false" ht="49.5" hidden="false" customHeight="true" outlineLevel="0" collapsed="false">
      <c r="A18" s="4" t="s">
        <v>124</v>
      </c>
      <c r="B18" s="4" t="s">
        <v>241</v>
      </c>
      <c r="C18" s="3" t="s">
        <v>242</v>
      </c>
      <c r="D18" s="4" t="s">
        <v>243</v>
      </c>
      <c r="E18" s="4" t="s">
        <v>244</v>
      </c>
    </row>
    <row r="19" customFormat="false" ht="49.5" hidden="false" customHeight="true" outlineLevel="0" collapsed="false">
      <c r="A19" s="4" t="s">
        <v>132</v>
      </c>
      <c r="B19" s="4" t="s">
        <v>245</v>
      </c>
      <c r="C19" s="3" t="s">
        <v>246</v>
      </c>
      <c r="D19" s="4" t="s">
        <v>247</v>
      </c>
      <c r="E19" s="4" t="s">
        <v>248</v>
      </c>
    </row>
    <row r="20" customFormat="false" ht="49.5" hidden="false" customHeight="true" outlineLevel="0" collapsed="false">
      <c r="A20" s="4" t="s">
        <v>137</v>
      </c>
      <c r="B20" s="4" t="s">
        <v>249</v>
      </c>
      <c r="C20" s="3" t="s">
        <v>250</v>
      </c>
      <c r="D20" s="4" t="s">
        <v>251</v>
      </c>
      <c r="E20" s="4" t="s">
        <v>252</v>
      </c>
    </row>
    <row r="21" customFormat="false" ht="49.5" hidden="false" customHeight="true" outlineLevel="0" collapsed="false">
      <c r="A21" s="4" t="s">
        <v>143</v>
      </c>
      <c r="B21" s="4" t="s">
        <v>253</v>
      </c>
      <c r="C21" s="3" t="s">
        <v>254</v>
      </c>
      <c r="D21" s="4" t="s">
        <v>255</v>
      </c>
      <c r="E21" s="4" t="s">
        <v>212</v>
      </c>
    </row>
    <row r="22" customFormat="false" ht="49.5" hidden="false" customHeight="true" outlineLevel="0" collapsed="false">
      <c r="A22" s="4" t="s">
        <v>151</v>
      </c>
      <c r="B22" s="4" t="s">
        <v>256</v>
      </c>
      <c r="C22" s="3" t="s">
        <v>257</v>
      </c>
      <c r="D22" s="4" t="s">
        <v>258</v>
      </c>
      <c r="E22" s="4" t="s">
        <v>259</v>
      </c>
    </row>
    <row r="23" customFormat="false" ht="49.5" hidden="false" customHeight="true" outlineLevel="0" collapsed="false">
      <c r="A23" s="4" t="s">
        <v>156</v>
      </c>
      <c r="B23" s="4" t="s">
        <v>260</v>
      </c>
      <c r="C23" s="3" t="s">
        <v>261</v>
      </c>
      <c r="D23" s="4" t="s">
        <v>262</v>
      </c>
      <c r="E23" s="4" t="s">
        <v>263</v>
      </c>
    </row>
  </sheetData>
  <autoFilter ref="A1:E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6"/>
    <col collapsed="false" customWidth="true" hidden="false" outlineLevel="0" max="4" min="4" style="0" width="62"/>
    <col collapsed="false" customWidth="true" hidden="false" outlineLevel="0" max="5" min="5" style="0" width="52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9.55" hidden="false" customHeight="false" outlineLevel="0" collapsed="false">
      <c r="A1" s="14" t="s">
        <v>0</v>
      </c>
      <c r="B1" s="14" t="s">
        <v>264</v>
      </c>
      <c r="C1" s="14" t="s">
        <v>265</v>
      </c>
      <c r="D1" s="14" t="s">
        <v>266</v>
      </c>
      <c r="E1" s="14" t="s">
        <v>267</v>
      </c>
      <c r="F1" s="14" t="s">
        <v>268</v>
      </c>
      <c r="G1" s="14" t="s">
        <v>269</v>
      </c>
    </row>
    <row r="2" customFormat="false" ht="55.5" hidden="false" customHeight="true" outlineLevel="0" collapsed="false">
      <c r="A2" s="4" t="s">
        <v>8</v>
      </c>
      <c r="B2" s="4" t="n">
        <v>1</v>
      </c>
      <c r="C2" s="15" t="s">
        <v>270</v>
      </c>
      <c r="D2" s="4" t="s">
        <v>271</v>
      </c>
      <c r="E2" s="4" t="s">
        <v>272</v>
      </c>
      <c r="F2" s="4" t="s">
        <v>273</v>
      </c>
      <c r="G2" s="4" t="s">
        <v>274</v>
      </c>
    </row>
    <row r="3" customFormat="false" ht="55.5" hidden="false" customHeight="true" outlineLevel="0" collapsed="false">
      <c r="A3" s="4" t="s">
        <v>8</v>
      </c>
      <c r="B3" s="4" t="n">
        <v>2</v>
      </c>
      <c r="C3" s="15" t="s">
        <v>270</v>
      </c>
      <c r="D3" s="4" t="s">
        <v>275</v>
      </c>
      <c r="E3" s="4" t="s">
        <v>276</v>
      </c>
      <c r="F3" s="4" t="s">
        <v>273</v>
      </c>
      <c r="G3" s="4" t="s">
        <v>274</v>
      </c>
    </row>
    <row r="4" customFormat="false" ht="55.5" hidden="false" customHeight="true" outlineLevel="0" collapsed="false">
      <c r="A4" s="4" t="s">
        <v>8</v>
      </c>
      <c r="B4" s="4" t="n">
        <v>3</v>
      </c>
      <c r="C4" s="16" t="s">
        <v>277</v>
      </c>
      <c r="D4" s="4" t="s">
        <v>278</v>
      </c>
      <c r="E4" s="4" t="s">
        <v>279</v>
      </c>
      <c r="F4" s="4" t="s">
        <v>273</v>
      </c>
      <c r="G4" s="4" t="s">
        <v>274</v>
      </c>
    </row>
    <row r="5" customFormat="false" ht="55.5" hidden="false" customHeight="true" outlineLevel="0" collapsed="false">
      <c r="A5" s="4" t="s">
        <v>8</v>
      </c>
      <c r="B5" s="4" t="n">
        <v>4</v>
      </c>
      <c r="C5" s="15" t="s">
        <v>270</v>
      </c>
      <c r="D5" s="4" t="s">
        <v>280</v>
      </c>
      <c r="E5" s="4" t="s">
        <v>281</v>
      </c>
      <c r="F5" s="4" t="s">
        <v>273</v>
      </c>
      <c r="G5" s="4" t="s">
        <v>274</v>
      </c>
    </row>
    <row r="6" customFormat="false" ht="55.5" hidden="false" customHeight="true" outlineLevel="0" collapsed="false">
      <c r="A6" s="4" t="s">
        <v>8</v>
      </c>
      <c r="B6" s="4" t="n">
        <v>5</v>
      </c>
      <c r="C6" s="16" t="s">
        <v>277</v>
      </c>
      <c r="D6" s="4" t="s">
        <v>282</v>
      </c>
      <c r="E6" s="4" t="s">
        <v>283</v>
      </c>
      <c r="F6" s="4" t="s">
        <v>273</v>
      </c>
      <c r="G6" s="4" t="s">
        <v>274</v>
      </c>
    </row>
    <row r="7" customFormat="false" ht="55.5" hidden="false" customHeight="true" outlineLevel="0" collapsed="false">
      <c r="A7" s="4" t="s">
        <v>16</v>
      </c>
      <c r="B7" s="4" t="n">
        <v>1</v>
      </c>
      <c r="C7" s="15" t="s">
        <v>270</v>
      </c>
      <c r="D7" s="4" t="s">
        <v>284</v>
      </c>
      <c r="E7" s="4" t="s">
        <v>285</v>
      </c>
      <c r="F7" s="4" t="s">
        <v>8</v>
      </c>
      <c r="G7" s="4" t="s">
        <v>274</v>
      </c>
    </row>
    <row r="8" customFormat="false" ht="55.5" hidden="false" customHeight="true" outlineLevel="0" collapsed="false">
      <c r="A8" s="4" t="s">
        <v>16</v>
      </c>
      <c r="B8" s="4" t="n">
        <v>2</v>
      </c>
      <c r="C8" s="15" t="s">
        <v>270</v>
      </c>
      <c r="D8" s="4" t="s">
        <v>286</v>
      </c>
      <c r="E8" s="4" t="s">
        <v>287</v>
      </c>
      <c r="F8" s="4" t="s">
        <v>8</v>
      </c>
      <c r="G8" s="4" t="s">
        <v>274</v>
      </c>
    </row>
    <row r="9" customFormat="false" ht="55.5" hidden="false" customHeight="true" outlineLevel="0" collapsed="false">
      <c r="A9" s="4" t="s">
        <v>16</v>
      </c>
      <c r="B9" s="4" t="n">
        <v>3</v>
      </c>
      <c r="C9" s="16" t="s">
        <v>277</v>
      </c>
      <c r="D9" s="4" t="s">
        <v>288</v>
      </c>
      <c r="E9" s="4" t="s">
        <v>289</v>
      </c>
      <c r="F9" s="4" t="s">
        <v>8</v>
      </c>
      <c r="G9" s="4" t="s">
        <v>290</v>
      </c>
    </row>
    <row r="10" customFormat="false" ht="55.5" hidden="false" customHeight="true" outlineLevel="0" collapsed="false">
      <c r="A10" s="4" t="s">
        <v>16</v>
      </c>
      <c r="B10" s="4" t="n">
        <v>4</v>
      </c>
      <c r="C10" s="15" t="s">
        <v>270</v>
      </c>
      <c r="D10" s="4" t="s">
        <v>291</v>
      </c>
      <c r="E10" s="4" t="s">
        <v>292</v>
      </c>
      <c r="F10" s="4" t="s">
        <v>273</v>
      </c>
      <c r="G10" s="4" t="s">
        <v>274</v>
      </c>
    </row>
    <row r="11" customFormat="false" ht="55.5" hidden="false" customHeight="true" outlineLevel="0" collapsed="false">
      <c r="A11" s="4" t="s">
        <v>16</v>
      </c>
      <c r="B11" s="4" t="n">
        <v>5</v>
      </c>
      <c r="C11" s="16" t="s">
        <v>277</v>
      </c>
      <c r="D11" s="4" t="s">
        <v>293</v>
      </c>
      <c r="E11" s="4" t="s">
        <v>294</v>
      </c>
      <c r="F11" s="4" t="s">
        <v>8</v>
      </c>
      <c r="G11" s="4" t="s">
        <v>274</v>
      </c>
    </row>
    <row r="12" customFormat="false" ht="55.5" hidden="false" customHeight="true" outlineLevel="0" collapsed="false">
      <c r="A12" s="4" t="s">
        <v>16</v>
      </c>
      <c r="B12" s="4" t="n">
        <v>6</v>
      </c>
      <c r="C12" s="16" t="s">
        <v>277</v>
      </c>
      <c r="D12" s="4" t="s">
        <v>295</v>
      </c>
      <c r="E12" s="4" t="s">
        <v>296</v>
      </c>
      <c r="F12" s="4" t="s">
        <v>8</v>
      </c>
      <c r="G12" s="4" t="s">
        <v>297</v>
      </c>
    </row>
    <row r="13" customFormat="false" ht="55.5" hidden="false" customHeight="true" outlineLevel="0" collapsed="false">
      <c r="A13" s="4" t="s">
        <v>22</v>
      </c>
      <c r="B13" s="4" t="n">
        <v>1</v>
      </c>
      <c r="C13" s="15" t="s">
        <v>270</v>
      </c>
      <c r="D13" s="4" t="s">
        <v>298</v>
      </c>
      <c r="E13" s="4" t="s">
        <v>299</v>
      </c>
      <c r="F13" s="4" t="s">
        <v>16</v>
      </c>
      <c r="G13" s="4" t="s">
        <v>300</v>
      </c>
    </row>
    <row r="14" customFormat="false" ht="55.5" hidden="false" customHeight="true" outlineLevel="0" collapsed="false">
      <c r="A14" s="4" t="s">
        <v>22</v>
      </c>
      <c r="B14" s="4" t="n">
        <v>2</v>
      </c>
      <c r="C14" s="16" t="s">
        <v>277</v>
      </c>
      <c r="D14" s="4" t="s">
        <v>301</v>
      </c>
      <c r="E14" s="4" t="s">
        <v>302</v>
      </c>
      <c r="F14" s="4" t="s">
        <v>16</v>
      </c>
      <c r="G14" s="4" t="s">
        <v>300</v>
      </c>
    </row>
    <row r="15" customFormat="false" ht="55.5" hidden="false" customHeight="true" outlineLevel="0" collapsed="false">
      <c r="A15" s="4" t="s">
        <v>22</v>
      </c>
      <c r="B15" s="4" t="n">
        <v>3</v>
      </c>
      <c r="C15" s="15" t="s">
        <v>270</v>
      </c>
      <c r="D15" s="4" t="s">
        <v>303</v>
      </c>
      <c r="E15" s="4" t="s">
        <v>304</v>
      </c>
      <c r="F15" s="4" t="s">
        <v>16</v>
      </c>
      <c r="G15" s="4" t="s">
        <v>305</v>
      </c>
    </row>
    <row r="16" customFormat="false" ht="55.5" hidden="false" customHeight="true" outlineLevel="0" collapsed="false">
      <c r="A16" s="4" t="s">
        <v>22</v>
      </c>
      <c r="B16" s="4" t="n">
        <v>4</v>
      </c>
      <c r="C16" s="16" t="s">
        <v>277</v>
      </c>
      <c r="D16" s="4" t="s">
        <v>306</v>
      </c>
      <c r="E16" s="4" t="s">
        <v>307</v>
      </c>
      <c r="F16" s="4" t="s">
        <v>16</v>
      </c>
      <c r="G16" s="4" t="s">
        <v>300</v>
      </c>
    </row>
    <row r="17" customFormat="false" ht="55.5" hidden="false" customHeight="true" outlineLevel="0" collapsed="false">
      <c r="A17" s="4" t="s">
        <v>22</v>
      </c>
      <c r="B17" s="4" t="n">
        <v>5</v>
      </c>
      <c r="C17" s="15" t="s">
        <v>270</v>
      </c>
      <c r="D17" s="4" t="s">
        <v>308</v>
      </c>
      <c r="E17" s="4" t="s">
        <v>309</v>
      </c>
      <c r="F17" s="4" t="s">
        <v>16</v>
      </c>
      <c r="G17" s="4" t="s">
        <v>274</v>
      </c>
    </row>
    <row r="18" customFormat="false" ht="55.5" hidden="false" customHeight="true" outlineLevel="0" collapsed="false">
      <c r="A18" s="4" t="s">
        <v>22</v>
      </c>
      <c r="B18" s="4" t="n">
        <v>6</v>
      </c>
      <c r="C18" s="16" t="s">
        <v>277</v>
      </c>
      <c r="D18" s="4" t="s">
        <v>310</v>
      </c>
      <c r="E18" s="4" t="s">
        <v>311</v>
      </c>
      <c r="F18" s="4" t="s">
        <v>16</v>
      </c>
      <c r="G18" s="4" t="s">
        <v>274</v>
      </c>
    </row>
    <row r="19" customFormat="false" ht="55.5" hidden="false" customHeight="true" outlineLevel="0" collapsed="false">
      <c r="A19" s="4" t="s">
        <v>28</v>
      </c>
      <c r="B19" s="4" t="n">
        <v>1</v>
      </c>
      <c r="C19" s="15" t="s">
        <v>270</v>
      </c>
      <c r="D19" s="4" t="s">
        <v>312</v>
      </c>
      <c r="E19" s="4" t="s">
        <v>313</v>
      </c>
      <c r="F19" s="4" t="s">
        <v>16</v>
      </c>
      <c r="G19" s="4" t="s">
        <v>199</v>
      </c>
    </row>
    <row r="20" customFormat="false" ht="55.5" hidden="false" customHeight="true" outlineLevel="0" collapsed="false">
      <c r="A20" s="4" t="s">
        <v>28</v>
      </c>
      <c r="B20" s="4" t="n">
        <v>2</v>
      </c>
      <c r="C20" s="16" t="s">
        <v>277</v>
      </c>
      <c r="D20" s="4" t="s">
        <v>314</v>
      </c>
      <c r="E20" s="4" t="s">
        <v>315</v>
      </c>
      <c r="F20" s="4" t="s">
        <v>207</v>
      </c>
      <c r="G20" s="4" t="s">
        <v>316</v>
      </c>
    </row>
    <row r="21" customFormat="false" ht="55.5" hidden="false" customHeight="true" outlineLevel="0" collapsed="false">
      <c r="A21" s="4" t="s">
        <v>28</v>
      </c>
      <c r="B21" s="4" t="n">
        <v>3</v>
      </c>
      <c r="C21" s="15" t="s">
        <v>270</v>
      </c>
      <c r="D21" s="4" t="s">
        <v>317</v>
      </c>
      <c r="E21" s="4" t="s">
        <v>318</v>
      </c>
      <c r="F21" s="4" t="s">
        <v>8</v>
      </c>
      <c r="G21" s="4" t="s">
        <v>274</v>
      </c>
    </row>
    <row r="22" customFormat="false" ht="55.5" hidden="false" customHeight="true" outlineLevel="0" collapsed="false">
      <c r="A22" s="4" t="s">
        <v>28</v>
      </c>
      <c r="B22" s="4" t="n">
        <v>4</v>
      </c>
      <c r="C22" s="16" t="s">
        <v>277</v>
      </c>
      <c r="D22" s="4" t="s">
        <v>319</v>
      </c>
      <c r="E22" s="4" t="s">
        <v>320</v>
      </c>
      <c r="F22" s="4" t="s">
        <v>321</v>
      </c>
      <c r="G22" s="4" t="s">
        <v>274</v>
      </c>
    </row>
    <row r="23" customFormat="false" ht="55.5" hidden="false" customHeight="true" outlineLevel="0" collapsed="false">
      <c r="A23" s="4" t="s">
        <v>28</v>
      </c>
      <c r="B23" s="4" t="n">
        <v>5</v>
      </c>
      <c r="C23" s="16" t="s">
        <v>277</v>
      </c>
      <c r="D23" s="4" t="s">
        <v>322</v>
      </c>
      <c r="E23" s="4" t="s">
        <v>323</v>
      </c>
      <c r="F23" s="4" t="s">
        <v>16</v>
      </c>
      <c r="G23" s="4" t="s">
        <v>324</v>
      </c>
    </row>
    <row r="24" customFormat="false" ht="55.5" hidden="false" customHeight="true" outlineLevel="0" collapsed="false">
      <c r="A24" s="4" t="s">
        <v>28</v>
      </c>
      <c r="B24" s="4" t="n">
        <v>6</v>
      </c>
      <c r="C24" s="15" t="s">
        <v>270</v>
      </c>
      <c r="D24" s="4" t="s">
        <v>325</v>
      </c>
      <c r="E24" s="4" t="s">
        <v>326</v>
      </c>
      <c r="F24" s="4" t="s">
        <v>321</v>
      </c>
      <c r="G24" s="4" t="s">
        <v>327</v>
      </c>
    </row>
    <row r="25" customFormat="false" ht="55.5" hidden="false" customHeight="true" outlineLevel="0" collapsed="false">
      <c r="A25" s="4" t="s">
        <v>38</v>
      </c>
      <c r="B25" s="4" t="n">
        <v>1</v>
      </c>
      <c r="C25" s="16" t="s">
        <v>277</v>
      </c>
      <c r="D25" s="4" t="s">
        <v>328</v>
      </c>
      <c r="E25" s="4" t="s">
        <v>329</v>
      </c>
      <c r="F25" s="4" t="s">
        <v>8</v>
      </c>
      <c r="G25" s="4" t="s">
        <v>290</v>
      </c>
    </row>
    <row r="26" customFormat="false" ht="55.5" hidden="false" customHeight="true" outlineLevel="0" collapsed="false">
      <c r="A26" s="4" t="s">
        <v>38</v>
      </c>
      <c r="B26" s="4" t="n">
        <v>2</v>
      </c>
      <c r="C26" s="15" t="s">
        <v>270</v>
      </c>
      <c r="D26" s="4" t="s">
        <v>330</v>
      </c>
      <c r="E26" s="4" t="s">
        <v>331</v>
      </c>
      <c r="F26" s="4" t="s">
        <v>321</v>
      </c>
      <c r="G26" s="4" t="s">
        <v>274</v>
      </c>
    </row>
    <row r="27" customFormat="false" ht="55.5" hidden="false" customHeight="true" outlineLevel="0" collapsed="false">
      <c r="A27" s="4" t="s">
        <v>38</v>
      </c>
      <c r="B27" s="4" t="n">
        <v>3</v>
      </c>
      <c r="C27" s="16" t="s">
        <v>277</v>
      </c>
      <c r="D27" s="4" t="s">
        <v>332</v>
      </c>
      <c r="E27" s="4" t="s">
        <v>333</v>
      </c>
      <c r="F27" s="4" t="s">
        <v>28</v>
      </c>
      <c r="G27" s="4" t="s">
        <v>327</v>
      </c>
    </row>
    <row r="28" customFormat="false" ht="55.5" hidden="false" customHeight="true" outlineLevel="0" collapsed="false">
      <c r="A28" s="4" t="s">
        <v>38</v>
      </c>
      <c r="B28" s="4" t="n">
        <v>4</v>
      </c>
      <c r="C28" s="15" t="s">
        <v>270</v>
      </c>
      <c r="D28" s="4" t="s">
        <v>334</v>
      </c>
      <c r="E28" s="4" t="s">
        <v>335</v>
      </c>
      <c r="F28" s="4" t="s">
        <v>8</v>
      </c>
      <c r="G28" s="4" t="s">
        <v>336</v>
      </c>
    </row>
    <row r="29" customFormat="false" ht="55.5" hidden="false" customHeight="true" outlineLevel="0" collapsed="false">
      <c r="A29" s="4" t="s">
        <v>38</v>
      </c>
      <c r="B29" s="4" t="n">
        <v>5</v>
      </c>
      <c r="C29" s="16" t="s">
        <v>277</v>
      </c>
      <c r="D29" s="4" t="s">
        <v>337</v>
      </c>
      <c r="E29" s="4" t="s">
        <v>338</v>
      </c>
      <c r="F29" s="4" t="s">
        <v>321</v>
      </c>
      <c r="G29" s="4" t="s">
        <v>274</v>
      </c>
    </row>
    <row r="30" customFormat="false" ht="55.5" hidden="false" customHeight="true" outlineLevel="0" collapsed="false">
      <c r="A30" s="4" t="s">
        <v>46</v>
      </c>
      <c r="B30" s="4" t="n">
        <v>1</v>
      </c>
      <c r="C30" s="15" t="s">
        <v>270</v>
      </c>
      <c r="D30" s="4" t="s">
        <v>339</v>
      </c>
      <c r="E30" s="4" t="s">
        <v>340</v>
      </c>
      <c r="F30" s="4" t="s">
        <v>22</v>
      </c>
      <c r="G30" s="4" t="s">
        <v>316</v>
      </c>
    </row>
    <row r="31" customFormat="false" ht="55.5" hidden="false" customHeight="true" outlineLevel="0" collapsed="false">
      <c r="A31" s="4" t="s">
        <v>46</v>
      </c>
      <c r="B31" s="4" t="n">
        <v>2</v>
      </c>
      <c r="C31" s="16" t="s">
        <v>277</v>
      </c>
      <c r="D31" s="4" t="s">
        <v>341</v>
      </c>
      <c r="E31" s="4" t="s">
        <v>342</v>
      </c>
      <c r="F31" s="4" t="s">
        <v>22</v>
      </c>
      <c r="G31" s="4" t="s">
        <v>316</v>
      </c>
    </row>
    <row r="32" customFormat="false" ht="55.5" hidden="false" customHeight="true" outlineLevel="0" collapsed="false">
      <c r="A32" s="4" t="s">
        <v>46</v>
      </c>
      <c r="B32" s="4" t="n">
        <v>3</v>
      </c>
      <c r="C32" s="15" t="s">
        <v>270</v>
      </c>
      <c r="D32" s="4" t="s">
        <v>343</v>
      </c>
      <c r="E32" s="4" t="s">
        <v>344</v>
      </c>
      <c r="F32" s="4" t="s">
        <v>22</v>
      </c>
      <c r="G32" s="4" t="s">
        <v>345</v>
      </c>
    </row>
    <row r="33" customFormat="false" ht="55.5" hidden="false" customHeight="true" outlineLevel="0" collapsed="false">
      <c r="A33" s="4" t="s">
        <v>46</v>
      </c>
      <c r="B33" s="4" t="n">
        <v>4</v>
      </c>
      <c r="C33" s="16" t="s">
        <v>277</v>
      </c>
      <c r="D33" s="4" t="s">
        <v>346</v>
      </c>
      <c r="E33" s="4" t="s">
        <v>347</v>
      </c>
      <c r="F33" s="4" t="s">
        <v>22</v>
      </c>
      <c r="G33" s="4" t="s">
        <v>316</v>
      </c>
    </row>
    <row r="34" customFormat="false" ht="55.5" hidden="false" customHeight="true" outlineLevel="0" collapsed="false">
      <c r="A34" s="4" t="s">
        <v>46</v>
      </c>
      <c r="B34" s="4" t="n">
        <v>5</v>
      </c>
      <c r="C34" s="15" t="s">
        <v>270</v>
      </c>
      <c r="D34" s="4" t="s">
        <v>348</v>
      </c>
      <c r="E34" s="4" t="s">
        <v>349</v>
      </c>
      <c r="F34" s="4" t="s">
        <v>207</v>
      </c>
      <c r="G34" s="4" t="s">
        <v>274</v>
      </c>
    </row>
    <row r="35" customFormat="false" ht="55.5" hidden="false" customHeight="true" outlineLevel="0" collapsed="false">
      <c r="A35" s="4" t="s">
        <v>46</v>
      </c>
      <c r="B35" s="4" t="n">
        <v>6</v>
      </c>
      <c r="C35" s="16" t="s">
        <v>277</v>
      </c>
      <c r="D35" s="4" t="s">
        <v>350</v>
      </c>
      <c r="E35" s="4" t="s">
        <v>351</v>
      </c>
      <c r="F35" s="4" t="s">
        <v>16</v>
      </c>
      <c r="G35" s="4" t="s">
        <v>274</v>
      </c>
    </row>
    <row r="36" customFormat="false" ht="55.5" hidden="false" customHeight="true" outlineLevel="0" collapsed="false">
      <c r="A36" s="4" t="s">
        <v>51</v>
      </c>
      <c r="B36" s="4" t="n">
        <v>1</v>
      </c>
      <c r="C36" s="16" t="s">
        <v>277</v>
      </c>
      <c r="D36" s="4" t="s">
        <v>352</v>
      </c>
      <c r="E36" s="4" t="s">
        <v>353</v>
      </c>
      <c r="F36" s="4" t="s">
        <v>22</v>
      </c>
      <c r="G36" s="4" t="s">
        <v>316</v>
      </c>
    </row>
    <row r="37" customFormat="false" ht="55.5" hidden="false" customHeight="true" outlineLevel="0" collapsed="false">
      <c r="A37" s="4" t="s">
        <v>51</v>
      </c>
      <c r="B37" s="4" t="n">
        <v>2</v>
      </c>
      <c r="C37" s="15" t="s">
        <v>270</v>
      </c>
      <c r="D37" s="4" t="s">
        <v>354</v>
      </c>
      <c r="E37" s="4" t="s">
        <v>355</v>
      </c>
      <c r="F37" s="4" t="s">
        <v>46</v>
      </c>
      <c r="G37" s="4" t="s">
        <v>356</v>
      </c>
    </row>
    <row r="38" customFormat="false" ht="55.5" hidden="false" customHeight="true" outlineLevel="0" collapsed="false">
      <c r="A38" s="4" t="s">
        <v>51</v>
      </c>
      <c r="B38" s="4" t="n">
        <v>3</v>
      </c>
      <c r="C38" s="16" t="s">
        <v>277</v>
      </c>
      <c r="D38" s="4" t="s">
        <v>357</v>
      </c>
      <c r="E38" s="4" t="s">
        <v>358</v>
      </c>
      <c r="F38" s="4" t="s">
        <v>22</v>
      </c>
      <c r="G38" s="4" t="s">
        <v>274</v>
      </c>
    </row>
    <row r="39" customFormat="false" ht="55.5" hidden="false" customHeight="true" outlineLevel="0" collapsed="false">
      <c r="A39" s="4" t="s">
        <v>51</v>
      </c>
      <c r="B39" s="4" t="n">
        <v>4</v>
      </c>
      <c r="C39" s="15" t="s">
        <v>270</v>
      </c>
      <c r="D39" s="4" t="s">
        <v>359</v>
      </c>
      <c r="E39" s="4" t="s">
        <v>360</v>
      </c>
      <c r="F39" s="4" t="s">
        <v>22</v>
      </c>
      <c r="G39" s="4" t="s">
        <v>274</v>
      </c>
    </row>
    <row r="40" customFormat="false" ht="55.5" hidden="false" customHeight="true" outlineLevel="0" collapsed="false">
      <c r="A40" s="4" t="s">
        <v>51</v>
      </c>
      <c r="B40" s="4" t="n">
        <v>5</v>
      </c>
      <c r="C40" s="16" t="s">
        <v>277</v>
      </c>
      <c r="D40" s="4" t="s">
        <v>361</v>
      </c>
      <c r="E40" s="4" t="s">
        <v>362</v>
      </c>
      <c r="F40" s="4" t="s">
        <v>210</v>
      </c>
      <c r="G40" s="4" t="s">
        <v>363</v>
      </c>
    </row>
    <row r="41" customFormat="false" ht="55.5" hidden="false" customHeight="true" outlineLevel="0" collapsed="false">
      <c r="A41" s="4" t="s">
        <v>51</v>
      </c>
      <c r="B41" s="4" t="n">
        <v>6</v>
      </c>
      <c r="C41" s="15" t="s">
        <v>270</v>
      </c>
      <c r="D41" s="4" t="s">
        <v>364</v>
      </c>
      <c r="E41" s="4" t="s">
        <v>365</v>
      </c>
      <c r="F41" s="4" t="s">
        <v>22</v>
      </c>
      <c r="G41" s="4" t="s">
        <v>274</v>
      </c>
    </row>
    <row r="42" customFormat="false" ht="55.5" hidden="false" customHeight="true" outlineLevel="0" collapsed="false">
      <c r="A42" s="4" t="s">
        <v>59</v>
      </c>
      <c r="B42" s="4" t="n">
        <v>1</v>
      </c>
      <c r="C42" s="15" t="s">
        <v>270</v>
      </c>
      <c r="D42" s="4" t="s">
        <v>366</v>
      </c>
      <c r="E42" s="4" t="s">
        <v>367</v>
      </c>
      <c r="F42" s="4" t="s">
        <v>8</v>
      </c>
      <c r="G42" s="4" t="s">
        <v>274</v>
      </c>
    </row>
    <row r="43" customFormat="false" ht="55.5" hidden="false" customHeight="true" outlineLevel="0" collapsed="false">
      <c r="A43" s="4" t="s">
        <v>59</v>
      </c>
      <c r="B43" s="4" t="n">
        <v>2</v>
      </c>
      <c r="C43" s="16" t="s">
        <v>277</v>
      </c>
      <c r="D43" s="4" t="s">
        <v>368</v>
      </c>
      <c r="E43" s="4" t="s">
        <v>369</v>
      </c>
      <c r="F43" s="4" t="s">
        <v>22</v>
      </c>
      <c r="G43" s="4" t="s">
        <v>316</v>
      </c>
    </row>
    <row r="44" customFormat="false" ht="55.5" hidden="false" customHeight="true" outlineLevel="0" collapsed="false">
      <c r="A44" s="4" t="s">
        <v>59</v>
      </c>
      <c r="B44" s="4" t="n">
        <v>3</v>
      </c>
      <c r="C44" s="15" t="s">
        <v>270</v>
      </c>
      <c r="D44" s="4" t="s">
        <v>370</v>
      </c>
      <c r="E44" s="4" t="s">
        <v>371</v>
      </c>
      <c r="F44" s="4" t="s">
        <v>46</v>
      </c>
      <c r="G44" s="4" t="s">
        <v>274</v>
      </c>
    </row>
    <row r="45" customFormat="false" ht="55.5" hidden="false" customHeight="true" outlineLevel="0" collapsed="false">
      <c r="A45" s="4" t="s">
        <v>59</v>
      </c>
      <c r="B45" s="4" t="n">
        <v>4</v>
      </c>
      <c r="C45" s="16" t="s">
        <v>277</v>
      </c>
      <c r="D45" s="4" t="s">
        <v>372</v>
      </c>
      <c r="E45" s="4" t="s">
        <v>373</v>
      </c>
      <c r="F45" s="4" t="s">
        <v>46</v>
      </c>
      <c r="G45" s="4" t="s">
        <v>363</v>
      </c>
    </row>
    <row r="46" customFormat="false" ht="55.5" hidden="false" customHeight="true" outlineLevel="0" collapsed="false">
      <c r="A46" s="4" t="s">
        <v>59</v>
      </c>
      <c r="B46" s="4" t="n">
        <v>5</v>
      </c>
      <c r="C46" s="16" t="s">
        <v>277</v>
      </c>
      <c r="D46" s="4" t="s">
        <v>374</v>
      </c>
      <c r="E46" s="4" t="s">
        <v>375</v>
      </c>
      <c r="F46" s="4" t="s">
        <v>46</v>
      </c>
      <c r="G46" s="4" t="s">
        <v>274</v>
      </c>
    </row>
    <row r="47" customFormat="false" ht="55.5" hidden="false" customHeight="true" outlineLevel="0" collapsed="false">
      <c r="A47" s="4" t="s">
        <v>64</v>
      </c>
      <c r="B47" s="4" t="n">
        <v>1</v>
      </c>
      <c r="C47" s="15" t="s">
        <v>270</v>
      </c>
      <c r="D47" s="4" t="s">
        <v>376</v>
      </c>
      <c r="E47" s="4" t="s">
        <v>377</v>
      </c>
      <c r="F47" s="4" t="s">
        <v>51</v>
      </c>
      <c r="G47" s="4" t="s">
        <v>378</v>
      </c>
    </row>
    <row r="48" customFormat="false" ht="55.5" hidden="false" customHeight="true" outlineLevel="0" collapsed="false">
      <c r="A48" s="4" t="s">
        <v>64</v>
      </c>
      <c r="B48" s="4" t="n">
        <v>2</v>
      </c>
      <c r="C48" s="16" t="s">
        <v>277</v>
      </c>
      <c r="D48" s="4" t="s">
        <v>379</v>
      </c>
      <c r="E48" s="4" t="s">
        <v>380</v>
      </c>
      <c r="F48" s="4" t="s">
        <v>51</v>
      </c>
      <c r="G48" s="4" t="s">
        <v>381</v>
      </c>
    </row>
    <row r="49" customFormat="false" ht="55.5" hidden="false" customHeight="true" outlineLevel="0" collapsed="false">
      <c r="A49" s="4" t="s">
        <v>64</v>
      </c>
      <c r="B49" s="4" t="n">
        <v>3</v>
      </c>
      <c r="C49" s="15" t="s">
        <v>270</v>
      </c>
      <c r="D49" s="4" t="s">
        <v>382</v>
      </c>
      <c r="E49" s="4" t="s">
        <v>383</v>
      </c>
      <c r="F49" s="4" t="s">
        <v>51</v>
      </c>
      <c r="G49" s="4" t="s">
        <v>274</v>
      </c>
    </row>
    <row r="50" customFormat="false" ht="55.5" hidden="false" customHeight="true" outlineLevel="0" collapsed="false">
      <c r="A50" s="4" t="s">
        <v>64</v>
      </c>
      <c r="B50" s="4" t="n">
        <v>4</v>
      </c>
      <c r="C50" s="16" t="s">
        <v>277</v>
      </c>
      <c r="D50" s="4" t="s">
        <v>384</v>
      </c>
      <c r="E50" s="4" t="s">
        <v>385</v>
      </c>
      <c r="F50" s="4" t="s">
        <v>386</v>
      </c>
      <c r="G50" s="4" t="s">
        <v>387</v>
      </c>
    </row>
    <row r="51" customFormat="false" ht="55.5" hidden="false" customHeight="true" outlineLevel="0" collapsed="false">
      <c r="A51" s="4" t="s">
        <v>64</v>
      </c>
      <c r="B51" s="4" t="n">
        <v>5</v>
      </c>
      <c r="C51" s="16" t="s">
        <v>277</v>
      </c>
      <c r="D51" s="4" t="s">
        <v>388</v>
      </c>
      <c r="E51" s="4" t="s">
        <v>389</v>
      </c>
      <c r="F51" s="4" t="s">
        <v>51</v>
      </c>
      <c r="G51" s="4" t="s">
        <v>381</v>
      </c>
    </row>
    <row r="52" customFormat="false" ht="55.5" hidden="false" customHeight="true" outlineLevel="0" collapsed="false">
      <c r="A52" s="4" t="s">
        <v>64</v>
      </c>
      <c r="B52" s="4" t="n">
        <v>6</v>
      </c>
      <c r="C52" s="15" t="s">
        <v>270</v>
      </c>
      <c r="D52" s="4" t="s">
        <v>390</v>
      </c>
      <c r="E52" s="4" t="s">
        <v>391</v>
      </c>
      <c r="F52" s="4" t="s">
        <v>51</v>
      </c>
      <c r="G52" s="4" t="s">
        <v>274</v>
      </c>
    </row>
    <row r="53" customFormat="false" ht="55.5" hidden="false" customHeight="true" outlineLevel="0" collapsed="false">
      <c r="A53" s="4" t="s">
        <v>71</v>
      </c>
      <c r="B53" s="4" t="n">
        <v>1</v>
      </c>
      <c r="C53" s="16" t="s">
        <v>277</v>
      </c>
      <c r="D53" s="4" t="s">
        <v>392</v>
      </c>
      <c r="E53" s="4" t="s">
        <v>393</v>
      </c>
      <c r="F53" s="4" t="s">
        <v>22</v>
      </c>
      <c r="G53" s="4" t="s">
        <v>316</v>
      </c>
    </row>
    <row r="54" customFormat="false" ht="55.5" hidden="false" customHeight="true" outlineLevel="0" collapsed="false">
      <c r="A54" s="4" t="s">
        <v>71</v>
      </c>
      <c r="B54" s="4" t="n">
        <v>2</v>
      </c>
      <c r="C54" s="15" t="s">
        <v>270</v>
      </c>
      <c r="D54" s="4" t="s">
        <v>394</v>
      </c>
      <c r="E54" s="4" t="s">
        <v>395</v>
      </c>
      <c r="F54" s="4" t="s">
        <v>22</v>
      </c>
      <c r="G54" s="4" t="s">
        <v>345</v>
      </c>
    </row>
    <row r="55" customFormat="false" ht="55.5" hidden="false" customHeight="true" outlineLevel="0" collapsed="false">
      <c r="A55" s="4" t="s">
        <v>71</v>
      </c>
      <c r="B55" s="4" t="n">
        <v>3</v>
      </c>
      <c r="C55" s="16" t="s">
        <v>277</v>
      </c>
      <c r="D55" s="4" t="s">
        <v>396</v>
      </c>
      <c r="E55" s="4" t="s">
        <v>397</v>
      </c>
      <c r="F55" s="4" t="s">
        <v>207</v>
      </c>
      <c r="G55" s="4" t="s">
        <v>305</v>
      </c>
    </row>
    <row r="56" customFormat="false" ht="55.5" hidden="false" customHeight="true" outlineLevel="0" collapsed="false">
      <c r="A56" s="4" t="s">
        <v>71</v>
      </c>
      <c r="B56" s="4" t="n">
        <v>4</v>
      </c>
      <c r="C56" s="15" t="s">
        <v>270</v>
      </c>
      <c r="D56" s="4" t="s">
        <v>398</v>
      </c>
      <c r="E56" s="4" t="s">
        <v>399</v>
      </c>
      <c r="F56" s="4" t="s">
        <v>22</v>
      </c>
      <c r="G56" s="4" t="s">
        <v>274</v>
      </c>
    </row>
    <row r="57" customFormat="false" ht="55.5" hidden="false" customHeight="true" outlineLevel="0" collapsed="false">
      <c r="A57" s="4" t="s">
        <v>71</v>
      </c>
      <c r="B57" s="4" t="n">
        <v>5</v>
      </c>
      <c r="C57" s="16" t="s">
        <v>277</v>
      </c>
      <c r="D57" s="4" t="s">
        <v>400</v>
      </c>
      <c r="E57" s="4" t="s">
        <v>401</v>
      </c>
      <c r="F57" s="4" t="s">
        <v>22</v>
      </c>
      <c r="G57" s="4" t="s">
        <v>402</v>
      </c>
    </row>
    <row r="58" customFormat="false" ht="55.5" hidden="false" customHeight="true" outlineLevel="0" collapsed="false">
      <c r="A58" s="4" t="s">
        <v>71</v>
      </c>
      <c r="B58" s="4" t="n">
        <v>6</v>
      </c>
      <c r="C58" s="15" t="s">
        <v>270</v>
      </c>
      <c r="D58" s="4" t="s">
        <v>403</v>
      </c>
      <c r="E58" s="4" t="s">
        <v>404</v>
      </c>
      <c r="F58" s="4" t="s">
        <v>22</v>
      </c>
      <c r="G58" s="4" t="s">
        <v>274</v>
      </c>
    </row>
    <row r="59" customFormat="false" ht="55.5" hidden="false" customHeight="true" outlineLevel="0" collapsed="false">
      <c r="A59" s="4" t="s">
        <v>79</v>
      </c>
      <c r="B59" s="4" t="n">
        <v>1</v>
      </c>
      <c r="C59" s="16" t="s">
        <v>277</v>
      </c>
      <c r="D59" s="4" t="s">
        <v>405</v>
      </c>
      <c r="E59" s="4" t="s">
        <v>406</v>
      </c>
      <c r="F59" s="4" t="s">
        <v>51</v>
      </c>
      <c r="G59" s="4" t="s">
        <v>378</v>
      </c>
    </row>
    <row r="60" customFormat="false" ht="55.5" hidden="false" customHeight="true" outlineLevel="0" collapsed="false">
      <c r="A60" s="4" t="s">
        <v>79</v>
      </c>
      <c r="B60" s="4" t="n">
        <v>2</v>
      </c>
      <c r="C60" s="15" t="s">
        <v>270</v>
      </c>
      <c r="D60" s="4" t="s">
        <v>407</v>
      </c>
      <c r="E60" s="4" t="s">
        <v>408</v>
      </c>
      <c r="F60" s="4" t="s">
        <v>409</v>
      </c>
      <c r="G60" s="4" t="s">
        <v>274</v>
      </c>
    </row>
    <row r="61" customFormat="false" ht="55.5" hidden="false" customHeight="true" outlineLevel="0" collapsed="false">
      <c r="A61" s="4" t="s">
        <v>79</v>
      </c>
      <c r="B61" s="4" t="n">
        <v>3</v>
      </c>
      <c r="C61" s="16" t="s">
        <v>277</v>
      </c>
      <c r="D61" s="4" t="s">
        <v>410</v>
      </c>
      <c r="E61" s="4" t="s">
        <v>411</v>
      </c>
      <c r="F61" s="4" t="s">
        <v>28</v>
      </c>
      <c r="G61" s="4" t="s">
        <v>327</v>
      </c>
    </row>
    <row r="62" customFormat="false" ht="55.5" hidden="false" customHeight="true" outlineLevel="0" collapsed="false">
      <c r="A62" s="4" t="s">
        <v>79</v>
      </c>
      <c r="B62" s="4" t="n">
        <v>4</v>
      </c>
      <c r="C62" s="15" t="s">
        <v>270</v>
      </c>
      <c r="D62" s="4" t="s">
        <v>412</v>
      </c>
      <c r="E62" s="4" t="s">
        <v>413</v>
      </c>
      <c r="F62" s="4" t="s">
        <v>273</v>
      </c>
      <c r="G62" s="4" t="s">
        <v>274</v>
      </c>
    </row>
    <row r="63" customFormat="false" ht="55.5" hidden="false" customHeight="true" outlineLevel="0" collapsed="false">
      <c r="A63" s="4" t="s">
        <v>79</v>
      </c>
      <c r="B63" s="4" t="n">
        <v>5</v>
      </c>
      <c r="C63" s="16" t="s">
        <v>277</v>
      </c>
      <c r="D63" s="4" t="s">
        <v>414</v>
      </c>
      <c r="E63" s="4" t="s">
        <v>415</v>
      </c>
      <c r="F63" s="4" t="s">
        <v>51</v>
      </c>
      <c r="G63" s="4" t="s">
        <v>378</v>
      </c>
    </row>
    <row r="64" customFormat="false" ht="55.5" hidden="false" customHeight="true" outlineLevel="0" collapsed="false">
      <c r="A64" s="4" t="s">
        <v>79</v>
      </c>
      <c r="B64" s="4" t="n">
        <v>6</v>
      </c>
      <c r="C64" s="15" t="s">
        <v>270</v>
      </c>
      <c r="D64" s="4" t="s">
        <v>416</v>
      </c>
      <c r="E64" s="4" t="s">
        <v>417</v>
      </c>
      <c r="F64" s="4" t="s">
        <v>273</v>
      </c>
      <c r="G64" s="4" t="s">
        <v>274</v>
      </c>
    </row>
    <row r="65" customFormat="false" ht="55.5" hidden="false" customHeight="true" outlineLevel="0" collapsed="false">
      <c r="A65" s="4" t="s">
        <v>87</v>
      </c>
      <c r="B65" s="4" t="n">
        <v>1</v>
      </c>
      <c r="C65" s="15" t="s">
        <v>270</v>
      </c>
      <c r="D65" s="4" t="s">
        <v>418</v>
      </c>
      <c r="E65" s="4" t="s">
        <v>419</v>
      </c>
      <c r="F65" s="4" t="s">
        <v>273</v>
      </c>
      <c r="G65" s="4" t="s">
        <v>274</v>
      </c>
    </row>
    <row r="66" customFormat="false" ht="55.5" hidden="false" customHeight="true" outlineLevel="0" collapsed="false">
      <c r="A66" s="4" t="s">
        <v>87</v>
      </c>
      <c r="B66" s="4" t="n">
        <v>2</v>
      </c>
      <c r="C66" s="16" t="s">
        <v>277</v>
      </c>
      <c r="D66" s="4" t="s">
        <v>420</v>
      </c>
      <c r="E66" s="4" t="s">
        <v>421</v>
      </c>
      <c r="F66" s="4" t="s">
        <v>28</v>
      </c>
      <c r="G66" s="4" t="s">
        <v>327</v>
      </c>
    </row>
    <row r="67" customFormat="false" ht="55.5" hidden="false" customHeight="true" outlineLevel="0" collapsed="false">
      <c r="A67" s="4" t="s">
        <v>87</v>
      </c>
      <c r="B67" s="4" t="n">
        <v>3</v>
      </c>
      <c r="C67" s="15" t="s">
        <v>270</v>
      </c>
      <c r="D67" s="4" t="s">
        <v>422</v>
      </c>
      <c r="E67" s="4" t="s">
        <v>423</v>
      </c>
      <c r="F67" s="4" t="s">
        <v>51</v>
      </c>
      <c r="G67" s="4" t="s">
        <v>378</v>
      </c>
    </row>
    <row r="68" customFormat="false" ht="55.5" hidden="false" customHeight="true" outlineLevel="0" collapsed="false">
      <c r="A68" s="4" t="s">
        <v>87</v>
      </c>
      <c r="B68" s="4" t="n">
        <v>4</v>
      </c>
      <c r="C68" s="16" t="s">
        <v>277</v>
      </c>
      <c r="D68" s="4" t="s">
        <v>424</v>
      </c>
      <c r="E68" s="4" t="s">
        <v>425</v>
      </c>
      <c r="F68" s="4" t="s">
        <v>321</v>
      </c>
      <c r="G68" s="4" t="s">
        <v>274</v>
      </c>
    </row>
    <row r="69" customFormat="false" ht="55.5" hidden="false" customHeight="true" outlineLevel="0" collapsed="false">
      <c r="A69" s="4" t="s">
        <v>87</v>
      </c>
      <c r="B69" s="4" t="n">
        <v>5</v>
      </c>
      <c r="C69" s="16" t="s">
        <v>277</v>
      </c>
      <c r="D69" s="4" t="s">
        <v>426</v>
      </c>
      <c r="E69" s="4" t="s">
        <v>427</v>
      </c>
      <c r="F69" s="4" t="s">
        <v>8</v>
      </c>
      <c r="G69" s="4" t="s">
        <v>274</v>
      </c>
    </row>
    <row r="70" customFormat="false" ht="55.5" hidden="false" customHeight="true" outlineLevel="0" collapsed="false">
      <c r="A70" s="4" t="s">
        <v>87</v>
      </c>
      <c r="B70" s="4" t="n">
        <v>6</v>
      </c>
      <c r="C70" s="15" t="s">
        <v>270</v>
      </c>
      <c r="D70" s="4" t="s">
        <v>428</v>
      </c>
      <c r="E70" s="4" t="s">
        <v>429</v>
      </c>
      <c r="F70" s="4" t="s">
        <v>51</v>
      </c>
      <c r="G70" s="4" t="s">
        <v>274</v>
      </c>
    </row>
    <row r="71" customFormat="false" ht="55.5" hidden="false" customHeight="true" outlineLevel="0" collapsed="false">
      <c r="A71" s="4" t="s">
        <v>95</v>
      </c>
      <c r="B71" s="4" t="n">
        <v>1</v>
      </c>
      <c r="C71" s="16" t="s">
        <v>277</v>
      </c>
      <c r="D71" s="4" t="s">
        <v>430</v>
      </c>
      <c r="E71" s="4" t="s">
        <v>431</v>
      </c>
      <c r="F71" s="4" t="s">
        <v>87</v>
      </c>
      <c r="G71" s="4" t="s">
        <v>432</v>
      </c>
    </row>
    <row r="72" customFormat="false" ht="55.5" hidden="false" customHeight="true" outlineLevel="0" collapsed="false">
      <c r="A72" s="4" t="s">
        <v>95</v>
      </c>
      <c r="B72" s="4" t="n">
        <v>2</v>
      </c>
      <c r="C72" s="15" t="s">
        <v>270</v>
      </c>
      <c r="D72" s="4" t="s">
        <v>433</v>
      </c>
      <c r="E72" s="4" t="s">
        <v>434</v>
      </c>
      <c r="F72" s="4" t="s">
        <v>87</v>
      </c>
      <c r="G72" s="4" t="s">
        <v>432</v>
      </c>
    </row>
    <row r="73" customFormat="false" ht="55.5" hidden="false" customHeight="true" outlineLevel="0" collapsed="false">
      <c r="A73" s="4" t="s">
        <v>95</v>
      </c>
      <c r="B73" s="4" t="n">
        <v>3</v>
      </c>
      <c r="C73" s="16" t="s">
        <v>277</v>
      </c>
      <c r="D73" s="4" t="s">
        <v>435</v>
      </c>
      <c r="E73" s="4" t="s">
        <v>436</v>
      </c>
      <c r="F73" s="4" t="s">
        <v>87</v>
      </c>
      <c r="G73" s="4" t="s">
        <v>437</v>
      </c>
    </row>
    <row r="74" customFormat="false" ht="55.5" hidden="false" customHeight="true" outlineLevel="0" collapsed="false">
      <c r="A74" s="4" t="s">
        <v>95</v>
      </c>
      <c r="B74" s="4" t="n">
        <v>4</v>
      </c>
      <c r="C74" s="16" t="s">
        <v>277</v>
      </c>
      <c r="D74" s="4" t="s">
        <v>438</v>
      </c>
      <c r="E74" s="4" t="s">
        <v>439</v>
      </c>
      <c r="F74" s="4" t="s">
        <v>87</v>
      </c>
      <c r="G74" s="4" t="s">
        <v>440</v>
      </c>
    </row>
    <row r="75" customFormat="false" ht="55.5" hidden="false" customHeight="true" outlineLevel="0" collapsed="false">
      <c r="A75" s="4" t="s">
        <v>95</v>
      </c>
      <c r="B75" s="4" t="n">
        <v>5</v>
      </c>
      <c r="C75" s="15" t="s">
        <v>270</v>
      </c>
      <c r="D75" s="4" t="s">
        <v>441</v>
      </c>
      <c r="E75" s="4" t="s">
        <v>442</v>
      </c>
      <c r="F75" s="4" t="s">
        <v>87</v>
      </c>
      <c r="G75" s="4" t="s">
        <v>274</v>
      </c>
    </row>
    <row r="76" customFormat="false" ht="55.5" hidden="false" customHeight="true" outlineLevel="0" collapsed="false">
      <c r="A76" s="4" t="s">
        <v>95</v>
      </c>
      <c r="B76" s="4" t="n">
        <v>6</v>
      </c>
      <c r="C76" s="16" t="s">
        <v>277</v>
      </c>
      <c r="D76" s="4" t="s">
        <v>443</v>
      </c>
      <c r="E76" s="4" t="s">
        <v>444</v>
      </c>
      <c r="F76" s="4" t="s">
        <v>210</v>
      </c>
      <c r="G76" s="4" t="s">
        <v>445</v>
      </c>
    </row>
    <row r="77" customFormat="false" ht="55.5" hidden="false" customHeight="true" outlineLevel="0" collapsed="false">
      <c r="A77" s="4" t="s">
        <v>104</v>
      </c>
      <c r="B77" s="4" t="n">
        <v>1</v>
      </c>
      <c r="C77" s="16" t="s">
        <v>277</v>
      </c>
      <c r="D77" s="4" t="s">
        <v>446</v>
      </c>
      <c r="E77" s="4" t="s">
        <v>447</v>
      </c>
      <c r="F77" s="4" t="s">
        <v>28</v>
      </c>
      <c r="G77" s="4" t="s">
        <v>448</v>
      </c>
    </row>
    <row r="78" customFormat="false" ht="55.5" hidden="false" customHeight="true" outlineLevel="0" collapsed="false">
      <c r="A78" s="4" t="s">
        <v>104</v>
      </c>
      <c r="B78" s="4" t="n">
        <v>2</v>
      </c>
      <c r="C78" s="15" t="s">
        <v>270</v>
      </c>
      <c r="D78" s="4" t="s">
        <v>449</v>
      </c>
      <c r="E78" s="4" t="s">
        <v>450</v>
      </c>
      <c r="F78" s="4" t="s">
        <v>87</v>
      </c>
      <c r="G78" s="4" t="s">
        <v>432</v>
      </c>
    </row>
    <row r="79" customFormat="false" ht="55.5" hidden="false" customHeight="true" outlineLevel="0" collapsed="false">
      <c r="A79" s="4" t="s">
        <v>104</v>
      </c>
      <c r="B79" s="4" t="n">
        <v>3</v>
      </c>
      <c r="C79" s="16" t="s">
        <v>277</v>
      </c>
      <c r="D79" s="4" t="s">
        <v>451</v>
      </c>
      <c r="E79" s="4" t="s">
        <v>452</v>
      </c>
      <c r="F79" s="4" t="s">
        <v>238</v>
      </c>
      <c r="G79" s="4" t="s">
        <v>274</v>
      </c>
    </row>
    <row r="80" customFormat="false" ht="55.5" hidden="false" customHeight="true" outlineLevel="0" collapsed="false">
      <c r="A80" s="4" t="s">
        <v>104</v>
      </c>
      <c r="B80" s="4" t="n">
        <v>4</v>
      </c>
      <c r="C80" s="15" t="s">
        <v>270</v>
      </c>
      <c r="D80" s="4" t="s">
        <v>453</v>
      </c>
      <c r="E80" s="4" t="s">
        <v>454</v>
      </c>
      <c r="F80" s="4" t="s">
        <v>28</v>
      </c>
      <c r="G80" s="4" t="s">
        <v>274</v>
      </c>
    </row>
    <row r="81" customFormat="false" ht="55.5" hidden="false" customHeight="true" outlineLevel="0" collapsed="false">
      <c r="A81" s="4" t="s">
        <v>104</v>
      </c>
      <c r="B81" s="4" t="n">
        <v>5</v>
      </c>
      <c r="C81" s="16" t="s">
        <v>277</v>
      </c>
      <c r="D81" s="4" t="s">
        <v>455</v>
      </c>
      <c r="E81" s="4" t="s">
        <v>456</v>
      </c>
      <c r="F81" s="4" t="s">
        <v>87</v>
      </c>
      <c r="G81" s="4" t="s">
        <v>274</v>
      </c>
    </row>
    <row r="82" customFormat="false" ht="55.5" hidden="false" customHeight="true" outlineLevel="0" collapsed="false">
      <c r="A82" s="4" t="s">
        <v>110</v>
      </c>
      <c r="B82" s="4" t="n">
        <v>1</v>
      </c>
      <c r="C82" s="16" t="s">
        <v>277</v>
      </c>
      <c r="D82" s="4" t="s">
        <v>457</v>
      </c>
      <c r="E82" s="4" t="s">
        <v>458</v>
      </c>
      <c r="F82" s="4" t="s">
        <v>8</v>
      </c>
      <c r="G82" s="4" t="s">
        <v>290</v>
      </c>
    </row>
    <row r="83" customFormat="false" ht="55.5" hidden="false" customHeight="true" outlineLevel="0" collapsed="false">
      <c r="A83" s="4" t="s">
        <v>110</v>
      </c>
      <c r="B83" s="4" t="n">
        <v>2</v>
      </c>
      <c r="C83" s="15" t="s">
        <v>270</v>
      </c>
      <c r="D83" s="4" t="s">
        <v>459</v>
      </c>
      <c r="E83" s="4" t="s">
        <v>460</v>
      </c>
      <c r="F83" s="4" t="s">
        <v>87</v>
      </c>
      <c r="G83" s="4" t="s">
        <v>274</v>
      </c>
    </row>
    <row r="84" customFormat="false" ht="55.5" hidden="false" customHeight="true" outlineLevel="0" collapsed="false">
      <c r="A84" s="4" t="s">
        <v>110</v>
      </c>
      <c r="B84" s="4" t="n">
        <v>3</v>
      </c>
      <c r="C84" s="16" t="s">
        <v>277</v>
      </c>
      <c r="D84" s="4" t="s">
        <v>461</v>
      </c>
      <c r="E84" s="4" t="s">
        <v>462</v>
      </c>
      <c r="F84" s="4" t="s">
        <v>463</v>
      </c>
      <c r="G84" s="4" t="s">
        <v>274</v>
      </c>
    </row>
    <row r="85" customFormat="false" ht="55.5" hidden="false" customHeight="true" outlineLevel="0" collapsed="false">
      <c r="A85" s="4" t="s">
        <v>110</v>
      </c>
      <c r="B85" s="4" t="n">
        <v>4</v>
      </c>
      <c r="C85" s="15" t="s">
        <v>270</v>
      </c>
      <c r="D85" s="4" t="s">
        <v>464</v>
      </c>
      <c r="E85" s="4" t="s">
        <v>465</v>
      </c>
      <c r="F85" s="4" t="s">
        <v>466</v>
      </c>
      <c r="G85" s="4" t="s">
        <v>274</v>
      </c>
    </row>
    <row r="86" customFormat="false" ht="55.5" hidden="false" customHeight="true" outlineLevel="0" collapsed="false">
      <c r="A86" s="4" t="s">
        <v>110</v>
      </c>
      <c r="B86" s="4" t="n">
        <v>5</v>
      </c>
      <c r="C86" s="16" t="s">
        <v>277</v>
      </c>
      <c r="D86" s="4" t="s">
        <v>467</v>
      </c>
      <c r="E86" s="4" t="s">
        <v>468</v>
      </c>
      <c r="F86" s="4" t="s">
        <v>87</v>
      </c>
      <c r="G86" s="4" t="s">
        <v>274</v>
      </c>
    </row>
    <row r="87" customFormat="false" ht="55.5" hidden="false" customHeight="true" outlineLevel="0" collapsed="false">
      <c r="A87" s="4" t="s">
        <v>116</v>
      </c>
      <c r="B87" s="4" t="n">
        <v>1</v>
      </c>
      <c r="C87" s="16" t="s">
        <v>277</v>
      </c>
      <c r="D87" s="4" t="s">
        <v>469</v>
      </c>
      <c r="E87" s="4" t="s">
        <v>470</v>
      </c>
      <c r="F87" s="4" t="s">
        <v>28</v>
      </c>
      <c r="G87" s="4" t="s">
        <v>471</v>
      </c>
    </row>
    <row r="88" customFormat="false" ht="55.5" hidden="false" customHeight="true" outlineLevel="0" collapsed="false">
      <c r="A88" s="4" t="s">
        <v>116</v>
      </c>
      <c r="B88" s="4" t="n">
        <v>2</v>
      </c>
      <c r="C88" s="15" t="s">
        <v>270</v>
      </c>
      <c r="D88" s="4" t="s">
        <v>472</v>
      </c>
      <c r="E88" s="4" t="s">
        <v>473</v>
      </c>
      <c r="F88" s="4" t="s">
        <v>28</v>
      </c>
      <c r="G88" s="4" t="s">
        <v>474</v>
      </c>
    </row>
    <row r="89" customFormat="false" ht="55.5" hidden="false" customHeight="true" outlineLevel="0" collapsed="false">
      <c r="A89" s="4" t="s">
        <v>116</v>
      </c>
      <c r="B89" s="4" t="n">
        <v>3</v>
      </c>
      <c r="C89" s="16" t="s">
        <v>277</v>
      </c>
      <c r="D89" s="4" t="s">
        <v>475</v>
      </c>
      <c r="E89" s="4" t="s">
        <v>476</v>
      </c>
      <c r="F89" s="4" t="s">
        <v>28</v>
      </c>
      <c r="G89" s="4" t="s">
        <v>327</v>
      </c>
    </row>
    <row r="90" customFormat="false" ht="55.5" hidden="false" customHeight="true" outlineLevel="0" collapsed="false">
      <c r="A90" s="4" t="s">
        <v>116</v>
      </c>
      <c r="B90" s="4" t="n">
        <v>4</v>
      </c>
      <c r="C90" s="15" t="s">
        <v>270</v>
      </c>
      <c r="D90" s="4" t="s">
        <v>477</v>
      </c>
      <c r="E90" s="4" t="s">
        <v>478</v>
      </c>
      <c r="F90" s="4" t="s">
        <v>479</v>
      </c>
      <c r="G90" s="4" t="s">
        <v>274</v>
      </c>
    </row>
    <row r="91" customFormat="false" ht="55.5" hidden="false" customHeight="true" outlineLevel="0" collapsed="false">
      <c r="A91" s="4" t="s">
        <v>116</v>
      </c>
      <c r="B91" s="4" t="n">
        <v>5</v>
      </c>
      <c r="C91" s="16" t="s">
        <v>277</v>
      </c>
      <c r="D91" s="4" t="s">
        <v>480</v>
      </c>
      <c r="E91" s="4" t="s">
        <v>481</v>
      </c>
      <c r="F91" s="4" t="s">
        <v>28</v>
      </c>
      <c r="G91" s="4" t="s">
        <v>327</v>
      </c>
    </row>
    <row r="92" customFormat="false" ht="55.5" hidden="false" customHeight="true" outlineLevel="0" collapsed="false">
      <c r="A92" s="4" t="s">
        <v>124</v>
      </c>
      <c r="B92" s="4" t="n">
        <v>1</v>
      </c>
      <c r="C92" s="16" t="s">
        <v>277</v>
      </c>
      <c r="D92" s="4" t="s">
        <v>482</v>
      </c>
      <c r="E92" s="4" t="s">
        <v>483</v>
      </c>
      <c r="F92" s="4" t="s">
        <v>8</v>
      </c>
      <c r="G92" s="4" t="s">
        <v>274</v>
      </c>
    </row>
    <row r="93" customFormat="false" ht="55.5" hidden="false" customHeight="true" outlineLevel="0" collapsed="false">
      <c r="A93" s="4" t="s">
        <v>124</v>
      </c>
      <c r="B93" s="4" t="n">
        <v>2</v>
      </c>
      <c r="C93" s="15" t="s">
        <v>270</v>
      </c>
      <c r="D93" s="4" t="s">
        <v>484</v>
      </c>
      <c r="E93" s="4" t="s">
        <v>485</v>
      </c>
      <c r="F93" s="4" t="s">
        <v>486</v>
      </c>
      <c r="G93" s="4" t="s">
        <v>274</v>
      </c>
    </row>
    <row r="94" customFormat="false" ht="55.5" hidden="false" customHeight="true" outlineLevel="0" collapsed="false">
      <c r="A94" s="4" t="s">
        <v>124</v>
      </c>
      <c r="B94" s="4" t="n">
        <v>3</v>
      </c>
      <c r="C94" s="16" t="s">
        <v>277</v>
      </c>
      <c r="D94" s="4" t="s">
        <v>487</v>
      </c>
      <c r="E94" s="4" t="s">
        <v>488</v>
      </c>
      <c r="F94" s="4" t="s">
        <v>87</v>
      </c>
      <c r="G94" s="4" t="s">
        <v>437</v>
      </c>
    </row>
    <row r="95" customFormat="false" ht="55.5" hidden="false" customHeight="true" outlineLevel="0" collapsed="false">
      <c r="A95" s="4" t="s">
        <v>124</v>
      </c>
      <c r="B95" s="4" t="n">
        <v>4</v>
      </c>
      <c r="C95" s="15" t="s">
        <v>270</v>
      </c>
      <c r="D95" s="4" t="s">
        <v>489</v>
      </c>
      <c r="E95" s="4" t="s">
        <v>490</v>
      </c>
      <c r="F95" s="4" t="s">
        <v>87</v>
      </c>
      <c r="G95" s="4" t="s">
        <v>274</v>
      </c>
    </row>
    <row r="96" customFormat="false" ht="55.5" hidden="false" customHeight="true" outlineLevel="0" collapsed="false">
      <c r="A96" s="4" t="s">
        <v>124</v>
      </c>
      <c r="B96" s="4" t="n">
        <v>5</v>
      </c>
      <c r="C96" s="16" t="s">
        <v>277</v>
      </c>
      <c r="D96" s="4" t="s">
        <v>491</v>
      </c>
      <c r="E96" s="4" t="s">
        <v>492</v>
      </c>
      <c r="F96" s="4" t="s">
        <v>493</v>
      </c>
      <c r="G96" s="4" t="s">
        <v>274</v>
      </c>
    </row>
    <row r="97" customFormat="false" ht="55.5" hidden="false" customHeight="true" outlineLevel="0" collapsed="false">
      <c r="A97" s="4" t="s">
        <v>132</v>
      </c>
      <c r="B97" s="4" t="n">
        <v>1</v>
      </c>
      <c r="C97" s="15" t="s">
        <v>270</v>
      </c>
      <c r="D97" s="4" t="s">
        <v>494</v>
      </c>
      <c r="E97" s="4" t="s">
        <v>495</v>
      </c>
      <c r="F97" s="4" t="s">
        <v>124</v>
      </c>
      <c r="G97" s="4" t="s">
        <v>274</v>
      </c>
    </row>
    <row r="98" customFormat="false" ht="55.5" hidden="false" customHeight="true" outlineLevel="0" collapsed="false">
      <c r="A98" s="4" t="s">
        <v>132</v>
      </c>
      <c r="B98" s="4" t="n">
        <v>2</v>
      </c>
      <c r="C98" s="16" t="s">
        <v>277</v>
      </c>
      <c r="D98" s="4" t="s">
        <v>496</v>
      </c>
      <c r="E98" s="4" t="s">
        <v>497</v>
      </c>
      <c r="F98" s="4" t="s">
        <v>124</v>
      </c>
      <c r="G98" s="4" t="s">
        <v>498</v>
      </c>
    </row>
    <row r="99" customFormat="false" ht="55.5" hidden="false" customHeight="true" outlineLevel="0" collapsed="false">
      <c r="A99" s="4" t="s">
        <v>132</v>
      </c>
      <c r="B99" s="4" t="n">
        <v>3</v>
      </c>
      <c r="C99" s="16" t="s">
        <v>277</v>
      </c>
      <c r="D99" s="4" t="s">
        <v>499</v>
      </c>
      <c r="E99" s="4" t="s">
        <v>500</v>
      </c>
      <c r="F99" s="4" t="s">
        <v>28</v>
      </c>
      <c r="G99" s="4" t="s">
        <v>274</v>
      </c>
    </row>
    <row r="100" customFormat="false" ht="55.5" hidden="false" customHeight="true" outlineLevel="0" collapsed="false">
      <c r="A100" s="4" t="s">
        <v>132</v>
      </c>
      <c r="B100" s="4" t="n">
        <v>4</v>
      </c>
      <c r="C100" s="15" t="s">
        <v>270</v>
      </c>
      <c r="D100" s="4" t="s">
        <v>501</v>
      </c>
      <c r="E100" s="4" t="s">
        <v>502</v>
      </c>
      <c r="F100" s="4" t="s">
        <v>503</v>
      </c>
      <c r="G100" s="4" t="s">
        <v>274</v>
      </c>
    </row>
    <row r="101" customFormat="false" ht="55.5" hidden="false" customHeight="true" outlineLevel="0" collapsed="false">
      <c r="A101" s="4" t="s">
        <v>132</v>
      </c>
      <c r="B101" s="4" t="n">
        <v>5</v>
      </c>
      <c r="C101" s="16" t="s">
        <v>277</v>
      </c>
      <c r="D101" s="4" t="s">
        <v>504</v>
      </c>
      <c r="E101" s="4" t="s">
        <v>505</v>
      </c>
      <c r="F101" s="4" t="s">
        <v>28</v>
      </c>
      <c r="G101" s="4" t="s">
        <v>327</v>
      </c>
    </row>
    <row r="102" customFormat="false" ht="55.5" hidden="false" customHeight="true" outlineLevel="0" collapsed="false">
      <c r="A102" s="4" t="s">
        <v>132</v>
      </c>
      <c r="B102" s="4" t="n">
        <v>6</v>
      </c>
      <c r="C102" s="15" t="s">
        <v>270</v>
      </c>
      <c r="D102" s="4" t="s">
        <v>506</v>
      </c>
      <c r="E102" s="4" t="s">
        <v>507</v>
      </c>
      <c r="F102" s="4" t="s">
        <v>38</v>
      </c>
      <c r="G102" s="4" t="s">
        <v>274</v>
      </c>
    </row>
    <row r="103" customFormat="false" ht="55.5" hidden="false" customHeight="true" outlineLevel="0" collapsed="false">
      <c r="A103" s="4" t="s">
        <v>137</v>
      </c>
      <c r="B103" s="4" t="n">
        <v>1</v>
      </c>
      <c r="C103" s="15" t="s">
        <v>270</v>
      </c>
      <c r="D103" s="4" t="s">
        <v>508</v>
      </c>
      <c r="E103" s="4" t="s">
        <v>509</v>
      </c>
      <c r="F103" s="4" t="s">
        <v>16</v>
      </c>
      <c r="G103" s="4" t="s">
        <v>274</v>
      </c>
    </row>
    <row r="104" customFormat="false" ht="55.5" hidden="false" customHeight="true" outlineLevel="0" collapsed="false">
      <c r="A104" s="4" t="s">
        <v>137</v>
      </c>
      <c r="B104" s="4" t="n">
        <v>2</v>
      </c>
      <c r="C104" s="16" t="s">
        <v>277</v>
      </c>
      <c r="D104" s="4" t="s">
        <v>510</v>
      </c>
      <c r="E104" s="4" t="s">
        <v>511</v>
      </c>
      <c r="F104" s="4" t="s">
        <v>479</v>
      </c>
      <c r="G104" s="4" t="s">
        <v>274</v>
      </c>
    </row>
    <row r="105" customFormat="false" ht="55.5" hidden="false" customHeight="true" outlineLevel="0" collapsed="false">
      <c r="A105" s="4" t="s">
        <v>137</v>
      </c>
      <c r="B105" s="4" t="n">
        <v>3</v>
      </c>
      <c r="C105" s="16" t="s">
        <v>277</v>
      </c>
      <c r="D105" s="4" t="s">
        <v>512</v>
      </c>
      <c r="E105" s="4" t="s">
        <v>513</v>
      </c>
      <c r="F105" s="4" t="s">
        <v>132</v>
      </c>
      <c r="G105" s="4" t="s">
        <v>514</v>
      </c>
    </row>
    <row r="106" customFormat="false" ht="55.5" hidden="false" customHeight="true" outlineLevel="0" collapsed="false">
      <c r="A106" s="4" t="s">
        <v>137</v>
      </c>
      <c r="B106" s="4" t="n">
        <v>4</v>
      </c>
      <c r="C106" s="15" t="s">
        <v>270</v>
      </c>
      <c r="D106" s="4" t="s">
        <v>515</v>
      </c>
      <c r="E106" s="4" t="s">
        <v>516</v>
      </c>
      <c r="F106" s="4" t="s">
        <v>132</v>
      </c>
      <c r="G106" s="4" t="s">
        <v>274</v>
      </c>
    </row>
    <row r="107" customFormat="false" ht="55.5" hidden="false" customHeight="true" outlineLevel="0" collapsed="false">
      <c r="A107" s="4" t="s">
        <v>137</v>
      </c>
      <c r="B107" s="4" t="n">
        <v>5</v>
      </c>
      <c r="C107" s="16" t="s">
        <v>277</v>
      </c>
      <c r="D107" s="4" t="s">
        <v>517</v>
      </c>
      <c r="E107" s="4" t="s">
        <v>518</v>
      </c>
      <c r="F107" s="4" t="s">
        <v>519</v>
      </c>
      <c r="G107" s="4" t="s">
        <v>274</v>
      </c>
    </row>
    <row r="108" customFormat="false" ht="55.5" hidden="false" customHeight="true" outlineLevel="0" collapsed="false">
      <c r="A108" s="4" t="s">
        <v>137</v>
      </c>
      <c r="B108" s="4" t="n">
        <v>6</v>
      </c>
      <c r="C108" s="15" t="s">
        <v>270</v>
      </c>
      <c r="D108" s="4" t="s">
        <v>520</v>
      </c>
      <c r="E108" s="4" t="s">
        <v>521</v>
      </c>
      <c r="F108" s="4" t="s">
        <v>16</v>
      </c>
      <c r="G108" s="4" t="s">
        <v>274</v>
      </c>
    </row>
    <row r="109" customFormat="false" ht="55.5" hidden="false" customHeight="true" outlineLevel="0" collapsed="false">
      <c r="A109" s="4" t="s">
        <v>143</v>
      </c>
      <c r="B109" s="4" t="n">
        <v>1</v>
      </c>
      <c r="C109" s="16" t="s">
        <v>277</v>
      </c>
      <c r="D109" s="4" t="s">
        <v>522</v>
      </c>
      <c r="E109" s="4" t="s">
        <v>523</v>
      </c>
      <c r="F109" s="4" t="s">
        <v>210</v>
      </c>
      <c r="G109" s="4" t="s">
        <v>363</v>
      </c>
    </row>
    <row r="110" customFormat="false" ht="55.5" hidden="false" customHeight="true" outlineLevel="0" collapsed="false">
      <c r="A110" s="4" t="s">
        <v>143</v>
      </c>
      <c r="B110" s="4" t="n">
        <v>2</v>
      </c>
      <c r="C110" s="15" t="s">
        <v>270</v>
      </c>
      <c r="D110" s="4" t="s">
        <v>524</v>
      </c>
      <c r="E110" s="4" t="s">
        <v>525</v>
      </c>
      <c r="F110" s="4" t="s">
        <v>22</v>
      </c>
      <c r="G110" s="4" t="s">
        <v>274</v>
      </c>
    </row>
    <row r="111" customFormat="false" ht="55.5" hidden="false" customHeight="true" outlineLevel="0" collapsed="false">
      <c r="A111" s="4" t="s">
        <v>143</v>
      </c>
      <c r="B111" s="4" t="n">
        <v>3</v>
      </c>
      <c r="C111" s="16" t="s">
        <v>277</v>
      </c>
      <c r="D111" s="4" t="s">
        <v>526</v>
      </c>
      <c r="E111" s="4" t="s">
        <v>527</v>
      </c>
      <c r="F111" s="4" t="s">
        <v>528</v>
      </c>
      <c r="G111" s="4" t="s">
        <v>274</v>
      </c>
    </row>
    <row r="112" customFormat="false" ht="55.5" hidden="false" customHeight="true" outlineLevel="0" collapsed="false">
      <c r="A112" s="4" t="s">
        <v>143</v>
      </c>
      <c r="B112" s="4" t="n">
        <v>4</v>
      </c>
      <c r="C112" s="15" t="s">
        <v>270</v>
      </c>
      <c r="D112" s="4" t="s">
        <v>529</v>
      </c>
      <c r="E112" s="4" t="s">
        <v>530</v>
      </c>
      <c r="F112" s="4" t="s">
        <v>46</v>
      </c>
      <c r="G112" s="4" t="s">
        <v>274</v>
      </c>
    </row>
    <row r="113" customFormat="false" ht="55.5" hidden="false" customHeight="true" outlineLevel="0" collapsed="false">
      <c r="A113" s="4" t="s">
        <v>143</v>
      </c>
      <c r="B113" s="4" t="n">
        <v>5</v>
      </c>
      <c r="C113" s="16" t="s">
        <v>277</v>
      </c>
      <c r="D113" s="4" t="s">
        <v>531</v>
      </c>
      <c r="E113" s="4" t="s">
        <v>532</v>
      </c>
      <c r="F113" s="4" t="s">
        <v>22</v>
      </c>
      <c r="G113" s="4" t="s">
        <v>274</v>
      </c>
    </row>
    <row r="114" customFormat="false" ht="55.5" hidden="false" customHeight="true" outlineLevel="0" collapsed="false">
      <c r="A114" s="4" t="s">
        <v>143</v>
      </c>
      <c r="B114" s="4" t="n">
        <v>6</v>
      </c>
      <c r="C114" s="16" t="s">
        <v>277</v>
      </c>
      <c r="D114" s="4" t="s">
        <v>533</v>
      </c>
      <c r="E114" s="4" t="s">
        <v>534</v>
      </c>
      <c r="F114" s="4" t="s">
        <v>22</v>
      </c>
      <c r="G114" s="4" t="s">
        <v>316</v>
      </c>
    </row>
    <row r="115" customFormat="false" ht="55.5" hidden="false" customHeight="true" outlineLevel="0" collapsed="false">
      <c r="A115" s="4" t="s">
        <v>151</v>
      </c>
      <c r="B115" s="4" t="n">
        <v>1</v>
      </c>
      <c r="C115" s="16" t="s">
        <v>277</v>
      </c>
      <c r="D115" s="4" t="s">
        <v>535</v>
      </c>
      <c r="E115" s="4" t="s">
        <v>536</v>
      </c>
      <c r="F115" s="4" t="s">
        <v>79</v>
      </c>
      <c r="G115" s="4" t="s">
        <v>537</v>
      </c>
    </row>
    <row r="116" customFormat="false" ht="55.5" hidden="false" customHeight="true" outlineLevel="0" collapsed="false">
      <c r="A116" s="4" t="s">
        <v>151</v>
      </c>
      <c r="B116" s="4" t="n">
        <v>2</v>
      </c>
      <c r="C116" s="15" t="s">
        <v>270</v>
      </c>
      <c r="D116" s="4" t="s">
        <v>538</v>
      </c>
      <c r="E116" s="4" t="s">
        <v>539</v>
      </c>
      <c r="F116" s="4" t="s">
        <v>51</v>
      </c>
      <c r="G116" s="4" t="s">
        <v>274</v>
      </c>
    </row>
    <row r="117" customFormat="false" ht="55.5" hidden="false" customHeight="true" outlineLevel="0" collapsed="false">
      <c r="A117" s="4" t="s">
        <v>151</v>
      </c>
      <c r="B117" s="4" t="n">
        <v>3</v>
      </c>
      <c r="C117" s="16" t="s">
        <v>277</v>
      </c>
      <c r="D117" s="4" t="s">
        <v>540</v>
      </c>
      <c r="E117" s="4" t="s">
        <v>541</v>
      </c>
      <c r="F117" s="4" t="s">
        <v>51</v>
      </c>
      <c r="G117" s="4" t="s">
        <v>274</v>
      </c>
    </row>
    <row r="118" customFormat="false" ht="55.5" hidden="false" customHeight="true" outlineLevel="0" collapsed="false">
      <c r="A118" s="4" t="s">
        <v>151</v>
      </c>
      <c r="B118" s="4" t="n">
        <v>4</v>
      </c>
      <c r="C118" s="15" t="s">
        <v>270</v>
      </c>
      <c r="D118" s="4" t="s">
        <v>542</v>
      </c>
      <c r="E118" s="4" t="s">
        <v>543</v>
      </c>
      <c r="F118" s="4" t="s">
        <v>257</v>
      </c>
      <c r="G118" s="4" t="s">
        <v>274</v>
      </c>
    </row>
    <row r="119" customFormat="false" ht="55.5" hidden="false" customHeight="true" outlineLevel="0" collapsed="false">
      <c r="A119" s="4" t="s">
        <v>151</v>
      </c>
      <c r="B119" s="4" t="n">
        <v>5</v>
      </c>
      <c r="C119" s="16" t="s">
        <v>277</v>
      </c>
      <c r="D119" s="4" t="s">
        <v>544</v>
      </c>
      <c r="E119" s="4" t="s">
        <v>545</v>
      </c>
      <c r="F119" s="4" t="s">
        <v>79</v>
      </c>
      <c r="G119" s="4" t="s">
        <v>274</v>
      </c>
    </row>
    <row r="120" customFormat="false" ht="55.5" hidden="false" customHeight="true" outlineLevel="0" collapsed="false">
      <c r="A120" s="4" t="s">
        <v>151</v>
      </c>
      <c r="B120" s="4" t="n">
        <v>6</v>
      </c>
      <c r="C120" s="16" t="s">
        <v>277</v>
      </c>
      <c r="D120" s="4" t="s">
        <v>546</v>
      </c>
      <c r="E120" s="4" t="s">
        <v>547</v>
      </c>
      <c r="F120" s="4" t="s">
        <v>51</v>
      </c>
      <c r="G120" s="4" t="s">
        <v>274</v>
      </c>
    </row>
    <row r="121" customFormat="false" ht="55.5" hidden="false" customHeight="true" outlineLevel="0" collapsed="false">
      <c r="A121" s="4" t="s">
        <v>156</v>
      </c>
      <c r="B121" s="4" t="n">
        <v>1</v>
      </c>
      <c r="C121" s="16" t="s">
        <v>277</v>
      </c>
      <c r="D121" s="4" t="s">
        <v>548</v>
      </c>
      <c r="E121" s="4" t="s">
        <v>549</v>
      </c>
      <c r="F121" s="4" t="s">
        <v>257</v>
      </c>
      <c r="G121" s="4" t="s">
        <v>550</v>
      </c>
    </row>
    <row r="122" customFormat="false" ht="55.5" hidden="false" customHeight="true" outlineLevel="0" collapsed="false">
      <c r="A122" s="4" t="s">
        <v>156</v>
      </c>
      <c r="B122" s="4" t="n">
        <v>2</v>
      </c>
      <c r="C122" s="15" t="s">
        <v>270</v>
      </c>
      <c r="D122" s="4" t="s">
        <v>551</v>
      </c>
      <c r="E122" s="4" t="s">
        <v>552</v>
      </c>
      <c r="F122" s="4" t="s">
        <v>151</v>
      </c>
      <c r="G122" s="4" t="s">
        <v>274</v>
      </c>
    </row>
    <row r="123" customFormat="false" ht="55.5" hidden="false" customHeight="true" outlineLevel="0" collapsed="false">
      <c r="A123" s="4" t="s">
        <v>156</v>
      </c>
      <c r="B123" s="4" t="n">
        <v>3</v>
      </c>
      <c r="C123" s="16" t="s">
        <v>277</v>
      </c>
      <c r="D123" s="4" t="s">
        <v>553</v>
      </c>
      <c r="E123" s="4" t="s">
        <v>554</v>
      </c>
      <c r="F123" s="4" t="s">
        <v>261</v>
      </c>
      <c r="G123" s="4" t="s">
        <v>274</v>
      </c>
    </row>
    <row r="124" customFormat="false" ht="55.5" hidden="false" customHeight="true" outlineLevel="0" collapsed="false">
      <c r="A124" s="4" t="s">
        <v>156</v>
      </c>
      <c r="B124" s="4" t="n">
        <v>4</v>
      </c>
      <c r="C124" s="16" t="s">
        <v>277</v>
      </c>
      <c r="D124" s="4" t="s">
        <v>555</v>
      </c>
      <c r="E124" s="4" t="s">
        <v>556</v>
      </c>
      <c r="F124" s="4" t="s">
        <v>79</v>
      </c>
      <c r="G124" s="4" t="s">
        <v>274</v>
      </c>
    </row>
    <row r="125" customFormat="false" ht="55.5" hidden="false" customHeight="true" outlineLevel="0" collapsed="false">
      <c r="A125" s="4" t="s">
        <v>156</v>
      </c>
      <c r="B125" s="4" t="n">
        <v>5</v>
      </c>
      <c r="C125" s="15" t="s">
        <v>270</v>
      </c>
      <c r="D125" s="4" t="s">
        <v>557</v>
      </c>
      <c r="E125" s="4" t="s">
        <v>558</v>
      </c>
      <c r="F125" s="4" t="s">
        <v>151</v>
      </c>
      <c r="G125" s="4" t="s">
        <v>274</v>
      </c>
    </row>
    <row r="126" customFormat="false" ht="55.5" hidden="false" customHeight="true" outlineLevel="0" collapsed="false">
      <c r="A126" s="4" t="s">
        <v>156</v>
      </c>
      <c r="B126" s="4" t="n">
        <v>6</v>
      </c>
      <c r="C126" s="16" t="s">
        <v>277</v>
      </c>
      <c r="D126" s="4" t="s">
        <v>559</v>
      </c>
      <c r="E126" s="4" t="s">
        <v>560</v>
      </c>
      <c r="F126" s="4" t="s">
        <v>151</v>
      </c>
      <c r="G126" s="4" t="s">
        <v>274</v>
      </c>
    </row>
  </sheetData>
  <autoFilter ref="A1:G1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2026-04-04T03:37:58Z</dcterms:created>
  <dc:creator>openpyxl</dc:creator>
  <dc:description/>
  <dc:language>en-US</dc:language>
  <cp:lastModifiedBy/>
  <dcterms:modified xsi:type="dcterms:W3CDTF">2026-04-04T03:52:36Z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